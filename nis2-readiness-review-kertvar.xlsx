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Questionnaire" sheetId="2" state="visible" r:id="rId4"/>
    <sheet name="Scores" sheetId="3" state="visible" r:id="rId5"/>
    <sheet name="Gaps" sheetId="4" state="visible" r:id="rId6"/>
    <sheet name="Risk register" sheetId="5" state="visible" r:id="rId7"/>
    <sheet name="Company" sheetId="6" state="visible" r:id="rId8"/>
    <sheet name="Metho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<sst xmlns="http://schemas.openxmlformats.org/spreadsheetml/2006/main" count="623" uniqueCount="411">
  <si>
    <t xml:space="preserve">NIS2 Readiness Review</t>
  </si>
  <si>
    <t xml:space="preserve">Kertvár Food Distribution Kft. (fictional company)</t>
  </si>
  <si>
    <t xml:space="preserve">This is a readiness review for portfolio purposes, not a NIS2 audit. Audits are a regulated activity in Hungary (SZTFH).</t>
  </si>
  <si>
    <t xml:space="preserve">Scope</t>
  </si>
  <si>
    <t xml:space="preserve">Entity</t>
  </si>
  <si>
    <t xml:space="preserve">Kertvár Food Distribution Kft. — food wholesale distribution, 140 staff, ~€28M revenue</t>
  </si>
  <si>
    <t xml:space="preserve">NIS2 classification</t>
  </si>
  <si>
    <t xml:space="preserve">Important entity (medium-sized, Annex II food sector; Hungarian Act LXIX of 2024, Annex 2)</t>
  </si>
  <si>
    <t xml:space="preserve">Assessed against</t>
  </si>
  <si>
    <t xml:space="preserve">NIS2 Art. 20 (management) and Art. 21(2)(a)–(j); incident reporting per Art. 23</t>
  </si>
  <si>
    <t xml:space="preserve">Method</t>
  </si>
  <si>
    <t xml:space="preserve">46-question self-assessment, scored per area; gaps ranked by importance; key risks in a risk register</t>
  </si>
  <si>
    <t xml:space="preserve">Results</t>
  </si>
  <si>
    <t xml:space="preserve">Overall readiness score</t>
  </si>
  <si>
    <t xml:space="preserve">Overall rating</t>
  </si>
  <si>
    <t xml:space="preserve">High-priority gaps</t>
  </si>
  <si>
    <t xml:space="preserve">High-rated risks</t>
  </si>
  <si>
    <t xml:space="preserve">Weakest area</t>
  </si>
  <si>
    <t xml:space="preserve">Strongest area</t>
  </si>
  <si>
    <t xml:space="preserve">Key findings</t>
  </si>
  <si>
    <t xml:space="preserve">1</t>
  </si>
  <si>
    <t xml:space="preserve">Backups are not protected against ransomware: the only copy sits next to the server, online, and has never been restore-tested.</t>
  </si>
  <si>
    <t xml:space="preserve">2</t>
  </si>
  <si>
    <t xml:space="preserve">MFA is enabled on only 2 accounts; phishing regularly reaches staff, who have had no training.</t>
  </si>
  <si>
    <t xml:space="preserve">3</t>
  </si>
  <si>
    <t xml:space="preserve">There is no incident procedure, and nobody knows the NIS2 reporting deadlines (24h early warning, 72h notification).</t>
  </si>
  <si>
    <t xml:space="preserve">4</t>
  </si>
  <si>
    <t xml:space="preserve">Suppliers have permanent, password-only remote access, and contracts have no security clauses.</t>
  </si>
  <si>
    <t xml:space="preserve">5</t>
  </si>
  <si>
    <t xml:space="preserve">Management has not approved security measures or completed training, which NIS2 Art. 20 requires.</t>
  </si>
  <si>
    <t xml:space="preserve">First 90 days — recommended actions</t>
  </si>
  <si>
    <t xml:space="preserve">1. Within 2 weeks</t>
  </si>
  <si>
    <t xml:space="preserve">Enable MFA for all Microsoft 365 users and the VPN; change the cold store default password.</t>
  </si>
  <si>
    <t xml:space="preserve">2. Within 1 month</t>
  </si>
  <si>
    <t xml:space="preserve">Add an off-site/offline backup copy and run the first restore test.</t>
  </si>
  <si>
    <t xml:space="preserve">3. Within 1 month</t>
  </si>
  <si>
    <t xml:space="preserve">Write a 1–2 page incident procedure naming who reports to the CSIRT and by when.</t>
  </si>
  <si>
    <t xml:space="preserve">4. Within 2 months</t>
  </si>
  <si>
    <t xml:space="preserve">Switch supplier remote access to on-request, with MFA and logging.</t>
  </si>
  <si>
    <t xml:space="preserve">5. Within 3 months</t>
  </si>
  <si>
    <t xml:space="preserve">Management approves a security policy and attends training; staff awareness training starts.</t>
  </si>
  <si>
    <t xml:space="preserve">Sheets in this workbook</t>
  </si>
  <si>
    <t xml:space="preserve">Questionnaire · Scores · Gaps · Risk register · Company · Method</t>
  </si>
  <si>
    <t xml:space="preserve">Questionnaire — answer each question with Yes / Partial / No / N/A</t>
  </si>
  <si>
    <t xml:space="preserve">Edit only the yellow cells (Answer, Weight). Points: Yes = 2, Partial = 1, No = 0, N/A = excluded. Gap score = (2 − points) × weight.</t>
  </si>
  <si>
    <t xml:space="preserve">ID</t>
  </si>
  <si>
    <t xml:space="preserve">Area</t>
  </si>
  <si>
    <t xml:space="preserve">Area name</t>
  </si>
  <si>
    <t xml:space="preserve">Question</t>
  </si>
  <si>
    <t xml:space="preserve">Answer</t>
  </si>
  <si>
    <t xml:space="preserve">Weight (1-3)</t>
  </si>
  <si>
    <t xml:space="preserve">Points</t>
  </si>
  <si>
    <t xml:space="preserve">Gap score</t>
  </si>
  <si>
    <t xml:space="preserve">Priority</t>
  </si>
  <si>
    <t xml:space="preserve">Finding at Kertvár</t>
  </si>
  <si>
    <t xml:space="preserve">Recommendation</t>
  </si>
  <si>
    <t xml:space="preserve">M1</t>
  </si>
  <si>
    <t xml:space="preserve">M</t>
  </si>
  <si>
    <t xml:space="preserve">Management responsibility</t>
  </si>
  <si>
    <t xml:space="preserve">Has management formally approved the cybersecurity risk-management measures?</t>
  </si>
  <si>
    <t xml:space="preserve">No</t>
  </si>
  <si>
    <t xml:space="preserve">No approved measures; security is handled ad hoc by IT.</t>
  </si>
  <si>
    <t xml:space="preserve">Managing director to approve a security policy and measures plan in writing.</t>
  </si>
  <si>
    <t xml:space="preserve">M2</t>
  </si>
  <si>
    <t xml:space="preserve">Has management completed cybersecurity training?</t>
  </si>
  <si>
    <t xml:space="preserve">Managing director and finance manager have had no training.</t>
  </si>
  <si>
    <t xml:space="preserve">Book a half-day management cybersecurity training session.</t>
  </si>
  <si>
    <t xml:space="preserve">M3</t>
  </si>
  <si>
    <t xml:space="preserve">Is a named person responsible for cybersecurity?</t>
  </si>
  <si>
    <t xml:space="preserve">Partial</t>
  </si>
  <si>
    <t xml:space="preserve">IT administrator does it informally; finance manager covers 'compliance' part-time.</t>
  </si>
  <si>
    <t xml:space="preserve">Formally name a security lead with time allocated.</t>
  </si>
  <si>
    <t xml:space="preserve">M4</t>
  </si>
  <si>
    <t xml:space="preserve">Has the company confirmed its NIS2 status and registered with the authority?</t>
  </si>
  <si>
    <t xml:space="preserve">Yes</t>
  </si>
  <si>
    <t xml:space="preserve">Registered with SZTFH as an important entity.</t>
  </si>
  <si>
    <t xml:space="preserve">Keep registration details up to date.</t>
  </si>
  <si>
    <t xml:space="preserve">a1</t>
  </si>
  <si>
    <t xml:space="preserve">a</t>
  </si>
  <si>
    <t xml:space="preserve">Risk analysis and security policies</t>
  </si>
  <si>
    <t xml:space="preserve">Is there a written information security policy, approved and shared with staff?</t>
  </si>
  <si>
    <t xml:space="preserve">No written policy exists.</t>
  </si>
  <si>
    <t xml:space="preserve">Write a short security policy covering the Art. 21 areas.</t>
  </si>
  <si>
    <t xml:space="preserve">a2</t>
  </si>
  <si>
    <t xml:space="preserve">Has a documented IT risk assessment been done in the last 12 months?</t>
  </si>
  <si>
    <t xml:space="preserve">Never done.</t>
  </si>
  <si>
    <t xml:space="preserve">Run a yearly risk assessment and keep the risk register up to date.</t>
  </si>
  <si>
    <t xml:space="preserve">a3</t>
  </si>
  <si>
    <t xml:space="preserve">Are critical systems identified with their business impact (ERP, cold store, web shop)?</t>
  </si>
  <si>
    <t xml:space="preserve">Everyone knows SAP is critical, but nothing is written down.</t>
  </si>
  <si>
    <t xml:space="preserve">List critical systems with impact and maximum tolerable downtime.</t>
  </si>
  <si>
    <t xml:space="preserve">a4</t>
  </si>
  <si>
    <t xml:space="preserve">Are security policies reviewed at least yearly?</t>
  </si>
  <si>
    <t xml:space="preserve">No policies to review.</t>
  </si>
  <si>
    <t xml:space="preserve">Set a yearly review date once the policy exists.</t>
  </si>
  <si>
    <t xml:space="preserve">b1</t>
  </si>
  <si>
    <t xml:space="preserve">b</t>
  </si>
  <si>
    <t xml:space="preserve">Incident handling and reporting</t>
  </si>
  <si>
    <t xml:space="preserve">Is there a written incident response procedure?</t>
  </si>
  <si>
    <t xml:space="preserve">No procedure; staff would call the IT admin's mobile.</t>
  </si>
  <si>
    <t xml:space="preserve">Write a 1-2 page incident procedure with roles and contacts.</t>
  </si>
  <si>
    <t xml:space="preserve">b2</t>
  </si>
  <si>
    <t xml:space="preserve">Do staff know how and to whom to report a suspicious event?</t>
  </si>
  <si>
    <t xml:space="preserve">Office staff call IT; warehouse staff and drivers don't know.</t>
  </si>
  <si>
    <t xml:space="preserve">Put a one-line reporting rule on posters and in onboarding.</t>
  </si>
  <si>
    <t xml:space="preserve">b3</t>
  </si>
  <si>
    <t xml:space="preserve">Is there a process to report significant incidents to the national CSIRT (24h early warning, 72h notification)?</t>
  </si>
  <si>
    <t xml:space="preserve">Nobody knows the deadlines or who would report.</t>
  </si>
  <si>
    <t xml:space="preserve">Name who reports, add CSIRT contacts and deadlines to the procedure.</t>
  </si>
  <si>
    <t xml:space="preserve">b4</t>
  </si>
  <si>
    <t xml:space="preserve">Are logs (firewall, Microsoft 365, server) kept long enough to investigate an incident?</t>
  </si>
  <si>
    <t xml:space="preserve">M365 default retention only; server and firewall logs overwrite after a few days.</t>
  </si>
  <si>
    <t xml:space="preserve">Keep key logs for at least 90 days.</t>
  </si>
  <si>
    <t xml:space="preserve">b5</t>
  </si>
  <si>
    <t xml:space="preserve">Is an incident log kept?</t>
  </si>
  <si>
    <t xml:space="preserve">No record of past incidents or phishing reports.</t>
  </si>
  <si>
    <t xml:space="preserve">Start a simple incident log (date, what, impact, action).</t>
  </si>
  <si>
    <t xml:space="preserve">c1</t>
  </si>
  <si>
    <t xml:space="preserve">c</t>
  </si>
  <si>
    <t xml:space="preserve">Business continuity and backups</t>
  </si>
  <si>
    <t xml:space="preserve">Are ERP and file share data backed up daily?</t>
  </si>
  <si>
    <t xml:space="preserve">Nightly backup to a NAS.</t>
  </si>
  <si>
    <t xml:space="preserve">Keep as is.</t>
  </si>
  <si>
    <t xml:space="preserve">c2</t>
  </si>
  <si>
    <t xml:space="preserve">Is at least one backup copy offline or off-site?</t>
  </si>
  <si>
    <t xml:space="preserve">NAS is in the same room as the server and always connected.</t>
  </si>
  <si>
    <t xml:space="preserve">Add an off-site or offline copy (cloud backup or rotated disk).</t>
  </si>
  <si>
    <t xml:space="preserve">c3</t>
  </si>
  <si>
    <t xml:space="preserve">Has a restore been tested in the last 6 months?</t>
  </si>
  <si>
    <t xml:space="preserve">Never tested.</t>
  </si>
  <si>
    <t xml:space="preserve">Test a full restore of the ERP every quarter and record the result.</t>
  </si>
  <si>
    <t xml:space="preserve">c4</t>
  </si>
  <si>
    <t xml:space="preserve">Is there a continuity plan for losing the ERP or cold store monitoring?</t>
  </si>
  <si>
    <t xml:space="preserve">Cold store sends SMS alarms; no plan for taking orders without SAP.</t>
  </si>
  <si>
    <t xml:space="preserve">Write a manual fallback for orders and deliveries.</t>
  </si>
  <si>
    <t xml:space="preserve">c5</t>
  </si>
  <si>
    <t xml:space="preserve">Are recovery time targets defined for critical systems?</t>
  </si>
  <si>
    <t xml:space="preserve">Not defined.</t>
  </si>
  <si>
    <t xml:space="preserve">Agree recovery targets with management (e.g. ERP back within 24h).</t>
  </si>
  <si>
    <t xml:space="preserve">d1</t>
  </si>
  <si>
    <t xml:space="preserve">d</t>
  </si>
  <si>
    <t xml:space="preserve">Supply chain security</t>
  </si>
  <si>
    <t xml:space="preserve">Is there a list of suppliers with access to systems or data?</t>
  </si>
  <si>
    <t xml:space="preserve">Known informally (SAP partner, MSP, web agency, payroll bureau, refrigeration vendor).</t>
  </si>
  <si>
    <t xml:space="preserve">Write the supplier list with what each can access.</t>
  </si>
  <si>
    <t xml:space="preserve">d2</t>
  </si>
  <si>
    <t xml:space="preserve">Do supplier contracts include security and incident-notification requirements?</t>
  </si>
  <si>
    <t xml:space="preserve">No contract mentions security.</t>
  </si>
  <si>
    <t xml:space="preserve">Add security clauses when contracts are renewed.</t>
  </si>
  <si>
    <t xml:space="preserve">d3</t>
  </si>
  <si>
    <t xml:space="preserve">Is supplier remote access approved, time-limited and logged?</t>
  </si>
  <si>
    <t xml:space="preserve">SAP partner and MSP have permanent, always-on access.</t>
  </si>
  <si>
    <t xml:space="preserve">Enable supplier access only on request, with logging.</t>
  </si>
  <si>
    <t xml:space="preserve">d4</t>
  </si>
  <si>
    <t xml:space="preserve">Are suppliers' security practices checked before onboarding?</t>
  </si>
  <si>
    <t xml:space="preserve">Never checked.</t>
  </si>
  <si>
    <t xml:space="preserve">Use a short supplier security questionnaire.</t>
  </si>
  <si>
    <t xml:space="preserve">e1</t>
  </si>
  <si>
    <t xml:space="preserve">e</t>
  </si>
  <si>
    <t xml:space="preserve">Secure acquisition, development and maintenance</t>
  </si>
  <si>
    <t xml:space="preserve">Are PCs and servers patched regularly (at least monthly)?</t>
  </si>
  <si>
    <t xml:space="preserve">PCs auto-update; server patched irregularly by the MSP.</t>
  </si>
  <si>
    <t xml:space="preserve">Agree a monthly patch window for the server.</t>
  </si>
  <si>
    <t xml:space="preserve">e2</t>
  </si>
  <si>
    <t xml:space="preserve">Are the ERP and web shop kept up to date by their suppliers?</t>
  </si>
  <si>
    <t xml:space="preserve">SAP updates yearly; web shop update status unknown.</t>
  </si>
  <si>
    <t xml:space="preserve">Ask the web agency for update and vulnerability-handling commitments.</t>
  </si>
  <si>
    <t xml:space="preserve">e3</t>
  </si>
  <si>
    <t xml:space="preserve">Are default passwords changed on new devices and services?</t>
  </si>
  <si>
    <t xml:space="preserve">Cold store dashboard still uses the vendor's default password.</t>
  </si>
  <si>
    <t xml:space="preserve">Change all default passwords; add it to the setup checklist.</t>
  </si>
  <si>
    <t xml:space="preserve">e4</t>
  </si>
  <si>
    <t xml:space="preserve">Are security requirements considered when buying new systems?</t>
  </si>
  <si>
    <t xml:space="preserve">Purchases decided on price and features only.</t>
  </si>
  <si>
    <t xml:space="preserve">Add a few security questions to purchasing.</t>
  </si>
  <si>
    <t xml:space="preserve">f1</t>
  </si>
  <si>
    <t xml:space="preserve">f</t>
  </si>
  <si>
    <t xml:space="preserve">Effectiveness assessment</t>
  </si>
  <si>
    <t xml:space="preserve">Are security measures checked periodically (internal review or test)?</t>
  </si>
  <si>
    <t xml:space="preserve">Do a yearly internal review using this questionnaire.</t>
  </si>
  <si>
    <t xml:space="preserve">f2</t>
  </si>
  <si>
    <t xml:space="preserve">Has an external vulnerability scan or penetration test been done?</t>
  </si>
  <si>
    <t xml:space="preserve">Run an external vulnerability scan of the web shop and firewall.</t>
  </si>
  <si>
    <t xml:space="preserve">f3</t>
  </si>
  <si>
    <t xml:space="preserve">Are security status or metrics reported to management?</t>
  </si>
  <si>
    <t xml:space="preserve">No reporting.</t>
  </si>
  <si>
    <t xml:space="preserve">Add a short quarterly security update to management meetings.</t>
  </si>
  <si>
    <t xml:space="preserve">g1</t>
  </si>
  <si>
    <t xml:space="preserve">g</t>
  </si>
  <si>
    <t xml:space="preserve">Cyber hygiene and training</t>
  </si>
  <si>
    <t xml:space="preserve">Has all staff had security awareness training in the last 12 months?</t>
  </si>
  <si>
    <t xml:space="preserve">Never had training.</t>
  </si>
  <si>
    <t xml:space="preserve">Run yearly awareness training, including warehouse staff and drivers.</t>
  </si>
  <si>
    <t xml:space="preserve">g2</t>
  </si>
  <si>
    <t xml:space="preserve">Are staff trained to recognise phishing?</t>
  </si>
  <si>
    <t xml:space="preserve">Phishing emails regularly reach staff.</t>
  </si>
  <si>
    <t xml:space="preserve">Add phishing examples to the training; consider simple phishing tests.</t>
  </si>
  <si>
    <t xml:space="preserve">g3</t>
  </si>
  <si>
    <t xml:space="preserve">Is antivirus or endpoint protection on all PCs?</t>
  </si>
  <si>
    <t xml:space="preserve">Microsoft Defender on all Windows PCs.</t>
  </si>
  <si>
    <t xml:space="preserve">g4</t>
  </si>
  <si>
    <t xml:space="preserve">Are there password rules (length, no reuse)?</t>
  </si>
  <si>
    <t xml:space="preserve">Windows minimum length only; no guidance on reuse.</t>
  </si>
  <si>
    <t xml:space="preserve">Set a clear password rule and allow a password manager.</t>
  </si>
  <si>
    <t xml:space="preserve">h1</t>
  </si>
  <si>
    <t xml:space="preserve">h</t>
  </si>
  <si>
    <t xml:space="preserve">Cryptography and encryption</t>
  </si>
  <si>
    <t xml:space="preserve">Are laptops encrypted (e.g. BitLocker)?</t>
  </si>
  <si>
    <t xml:space="preserve">Newer laptops only.</t>
  </si>
  <si>
    <t xml:space="preserve">Turn on BitLocker on all laptops.</t>
  </si>
  <si>
    <t xml:space="preserve">h2</t>
  </si>
  <si>
    <t xml:space="preserve">Does the web shop use valid HTTPS?</t>
  </si>
  <si>
    <t xml:space="preserve">Valid certificate.</t>
  </si>
  <si>
    <t xml:space="preserve">h3</t>
  </si>
  <si>
    <t xml:space="preserve">Is remote access encrypted (VPN)?</t>
  </si>
  <si>
    <t xml:space="preserve">Firewall VPN.</t>
  </si>
  <si>
    <t xml:space="preserve">h4</t>
  </si>
  <si>
    <t xml:space="preserve">Are backups encrypted?</t>
  </si>
  <si>
    <t xml:space="preserve">NAS backups are unencrypted.</t>
  </si>
  <si>
    <t xml:space="preserve">Encrypt backups, especially any off-site copy.</t>
  </si>
  <si>
    <t xml:space="preserve">i1</t>
  </si>
  <si>
    <t xml:space="preserve">i</t>
  </si>
  <si>
    <t xml:space="preserve">HR security, access control and assets</t>
  </si>
  <si>
    <t xml:space="preserve">Are leavers' accounts disabled on their last day?</t>
  </si>
  <si>
    <t xml:space="preserve">Usually, but not always; no checklist.</t>
  </si>
  <si>
    <t xml:space="preserve">Add account removal to the HR leaver checklist.</t>
  </si>
  <si>
    <t xml:space="preserve">i2</t>
  </si>
  <si>
    <t xml:space="preserve">Does everyone use their own account (no shared logins)?</t>
  </si>
  <si>
    <t xml:space="preserve">Warehouse scanners use shared logins.</t>
  </si>
  <si>
    <t xml:space="preserve">Give scanner users individual logins or PINs.</t>
  </si>
  <si>
    <t xml:space="preserve">i3</t>
  </si>
  <si>
    <t xml:space="preserve">Are admin rights limited, with separate admin accounts?</t>
  </si>
  <si>
    <t xml:space="preserve">IT admin uses one account for daily work and admin.</t>
  </si>
  <si>
    <t xml:space="preserve">Create a separate admin account for the IT admin.</t>
  </si>
  <si>
    <t xml:space="preserve">i4</t>
  </si>
  <si>
    <t xml:space="preserve">Is there an up-to-date inventory of all devices?</t>
  </si>
  <si>
    <t xml:space="preserve">Nobody knows the exact device count.</t>
  </si>
  <si>
    <t xml:space="preserve">Build a device inventory (PCs, scanners, phones, server, NAS).</t>
  </si>
  <si>
    <t xml:space="preserve">i5</t>
  </si>
  <si>
    <t xml:space="preserve">Are user access rights reviewed periodically?</t>
  </si>
  <si>
    <t xml:space="preserve">Never reviewed.</t>
  </si>
  <si>
    <t xml:space="preserve">Review access rights twice a year.</t>
  </si>
  <si>
    <t xml:space="preserve">j1</t>
  </si>
  <si>
    <t xml:space="preserve">j</t>
  </si>
  <si>
    <t xml:space="preserve">MFA and secure communications</t>
  </si>
  <si>
    <t xml:space="preserve">Is MFA enabled on all Microsoft 365 accounts?</t>
  </si>
  <si>
    <t xml:space="preserve">Only 2 accounts (IT admin, managing director).</t>
  </si>
  <si>
    <t xml:space="preserve">Enable MFA for all users.</t>
  </si>
  <si>
    <t xml:space="preserve">j2</t>
  </si>
  <si>
    <t xml:space="preserve">Is MFA required for remote access, including suppliers?</t>
  </si>
  <si>
    <t xml:space="preserve">VPN uses password only.</t>
  </si>
  <si>
    <t xml:space="preserve">Require MFA on the VPN.</t>
  </si>
  <si>
    <t xml:space="preserve">j3</t>
  </si>
  <si>
    <t xml:space="preserve">Is there a backup way to communicate if email is down?</t>
  </si>
  <si>
    <t xml:space="preserve">Staff phone list exists, not kept updated.</t>
  </si>
  <si>
    <t xml:space="preserve">Keep an up-to-date emergency contact list offline.</t>
  </si>
  <si>
    <t xml:space="preserve">j4</t>
  </si>
  <si>
    <t xml:space="preserve">Is sensitive data shared securely (e.g. with the payroll bureau)?</t>
  </si>
  <si>
    <t xml:space="preserve">Payroll files sometimes sent by plain email.</t>
  </si>
  <si>
    <t xml:space="preserve">Use the payroll bureau's secure portal only.</t>
  </si>
  <si>
    <t xml:space="preserve">Readiness score per area</t>
  </si>
  <si>
    <t xml:space="preserve">NIS2 reference</t>
  </si>
  <si>
    <t xml:space="preserve">Questions</t>
  </si>
  <si>
    <t xml:space="preserve">Points achieved</t>
  </si>
  <si>
    <t xml:space="preserve">Points possible</t>
  </si>
  <si>
    <t xml:space="preserve">Score</t>
  </si>
  <si>
    <t xml:space="preserve">Rating</t>
  </si>
  <si>
    <t xml:space="preserve">High gaps</t>
  </si>
  <si>
    <t xml:space="preserve">Art. 20</t>
  </si>
  <si>
    <t xml:space="preserve">Art. 21(2)(a)</t>
  </si>
  <si>
    <t xml:space="preserve">Art. 21(2)(b), Art. 23</t>
  </si>
  <si>
    <t xml:space="preserve">Art. 21(2)(c)</t>
  </si>
  <si>
    <t xml:space="preserve">Art. 21(2)(d)</t>
  </si>
  <si>
    <t xml:space="preserve">Art. 21(2)(e)</t>
  </si>
  <si>
    <t xml:space="preserve">Art. 21(2)(f)</t>
  </si>
  <si>
    <t xml:space="preserve">Art. 21(2)(g)</t>
  </si>
  <si>
    <t xml:space="preserve">Art. 21(2)(h)</t>
  </si>
  <si>
    <t xml:space="preserve">Art. 21(2)(i)</t>
  </si>
  <si>
    <t xml:space="preserve">Art. 21(2)(j)</t>
  </si>
  <si>
    <t xml:space="preserve">Overall</t>
  </si>
  <si>
    <t xml:space="preserve">Rating: Good ≥ 75% · Partial 50–74% · Weak &lt; 50%</t>
  </si>
  <si>
    <t xml:space="preserve">Gap report — ranked by gap score (importance × how far from 'Yes')</t>
  </si>
  <si>
    <t xml:space="preserve">Order reflects the assessed answers. Cells link to the Questionnaire, so values update if answers change; re-sort by Gap score if needed.</t>
  </si>
  <si>
    <t xml:space="preserve">Rank</t>
  </si>
  <si>
    <t xml:space="preserve">Risk register — Kertvár Food Distribution Kft.</t>
  </si>
  <si>
    <t xml:space="preserve">Likelihood and impact on a 1–5 scale (yellow cells). Score = likelihood × impact. High ≥ 15 · Medium 8–14 · Low &lt; 8.</t>
  </si>
  <si>
    <t xml:space="preserve">Risk</t>
  </si>
  <si>
    <t xml:space="preserve">Linked gaps</t>
  </si>
  <si>
    <t xml:space="preserve">Cause</t>
  </si>
  <si>
    <t xml:space="preserve">Likelihood (1-5)</t>
  </si>
  <si>
    <t xml:space="preserve">Impact (1-5)</t>
  </si>
  <si>
    <t xml:space="preserve">Owner</t>
  </si>
  <si>
    <t xml:space="preserve">Treatment</t>
  </si>
  <si>
    <t xml:space="preserve">Action</t>
  </si>
  <si>
    <t xml:space="preserve">Target date</t>
  </si>
  <si>
    <t xml:space="preserve">Status</t>
  </si>
  <si>
    <t xml:space="preserve">R01</t>
  </si>
  <si>
    <t xml:space="preserve">Ransomware encrypts server and NAS backup together; ERP down for days</t>
  </si>
  <si>
    <t xml:space="preserve">c2, c3, j1</t>
  </si>
  <si>
    <t xml:space="preserve">Phishing reaches staff; no MFA; backup in same room and online</t>
  </si>
  <si>
    <t xml:space="preserve">IT administrator</t>
  </si>
  <si>
    <t xml:space="preserve">Reduce</t>
  </si>
  <si>
    <t xml:space="preserve">Off-site/offline backup copy; quarterly restore test; MFA for all</t>
  </si>
  <si>
    <t xml:space="preserve">Q4 2026</t>
  </si>
  <si>
    <t xml:space="preserve">Open</t>
  </si>
  <si>
    <t xml:space="preserve">R02</t>
  </si>
  <si>
    <t xml:space="preserve">Microsoft 365 account takeover through phishing; fraudulent invoices sent to customers</t>
  </si>
  <si>
    <t xml:space="preserve">j1, g2</t>
  </si>
  <si>
    <t xml:space="preserve">No MFA on 98% of accounts; no phishing training</t>
  </si>
  <si>
    <t xml:space="preserve">Enable MFA for all users; phishing awareness training</t>
  </si>
  <si>
    <t xml:space="preserve">R03</t>
  </si>
  <si>
    <t xml:space="preserve">Significant incident not reported to the CSIRT in time; regulatory sanctions</t>
  </si>
  <si>
    <t xml:space="preserve">b1, b3</t>
  </si>
  <si>
    <t xml:space="preserve">No incident procedure; reporting duty unknown</t>
  </si>
  <si>
    <t xml:space="preserve">Managing director</t>
  </si>
  <si>
    <t xml:space="preserve">Incident procedure with named reporter and 24h/72h deadlines</t>
  </si>
  <si>
    <t xml:space="preserve">R04</t>
  </si>
  <si>
    <t xml:space="preserve">Compromised supplier uses permanent remote access to enter the network</t>
  </si>
  <si>
    <t xml:space="preserve">d3, j2</t>
  </si>
  <si>
    <t xml:space="preserve">Always-on supplier VPN with password only</t>
  </si>
  <si>
    <t xml:space="preserve">On-request supplier access with MFA and logging</t>
  </si>
  <si>
    <t xml:space="preserve">Q1 2027</t>
  </si>
  <si>
    <t xml:space="preserve">R05</t>
  </si>
  <si>
    <t xml:space="preserve">Cold store monitoring hijacked via default password; alarms disabled; stock spoiled</t>
  </si>
  <si>
    <t xml:space="preserve">Vendor default password on cloud dashboard</t>
  </si>
  <si>
    <t xml:space="preserve">Warehouse manager</t>
  </si>
  <si>
    <t xml:space="preserve">Change password now; ask vendor about MFA</t>
  </si>
  <si>
    <t xml:space="preserve">R06</t>
  </si>
  <si>
    <t xml:space="preserve">Former employee keeps access and misuses data</t>
  </si>
  <si>
    <t xml:space="preserve">i1, i5</t>
  </si>
  <si>
    <t xml:space="preserve">No leaver checklist; no access reviews</t>
  </si>
  <si>
    <t xml:space="preserve">Finance manager</t>
  </si>
  <si>
    <t xml:space="preserve">Leaver checklist with account removal; half-yearly access review</t>
  </si>
  <si>
    <t xml:space="preserve">R07</t>
  </si>
  <si>
    <t xml:space="preserve">Shared scanner logins hide who changed stock records</t>
  </si>
  <si>
    <t xml:space="preserve">Shared warehouse logins</t>
  </si>
  <si>
    <t xml:space="preserve">Individual scanner logins or PINs</t>
  </si>
  <si>
    <t xml:space="preserve">Q2 2027</t>
  </si>
  <si>
    <t xml:space="preserve">R08</t>
  </si>
  <si>
    <t xml:space="preserve">Unpatched server vulnerability exploited</t>
  </si>
  <si>
    <t xml:space="preserve">Irregular server patching</t>
  </si>
  <si>
    <t xml:space="preserve">Monthly patch window agreed with the MSP</t>
  </si>
  <si>
    <t xml:space="preserve">R09</t>
  </si>
  <si>
    <t xml:space="preserve">Lost or stolen laptop exposes customer and staff data</t>
  </si>
  <si>
    <t xml:space="preserve">Older laptops not encrypted</t>
  </si>
  <si>
    <t xml:space="preserve">BitLocker on all laptops</t>
  </si>
  <si>
    <t xml:space="preserve">R10</t>
  </si>
  <si>
    <t xml:space="preserve">Payroll data leaked when sent by plain email</t>
  </si>
  <si>
    <t xml:space="preserve">Payroll files sometimes emailed</t>
  </si>
  <si>
    <t xml:space="preserve">Use the payroll bureau's secure portal only</t>
  </si>
  <si>
    <t xml:space="preserve">R11</t>
  </si>
  <si>
    <t xml:space="preserve">Management held personally liable for missing NIS2 measures</t>
  </si>
  <si>
    <t xml:space="preserve">M1, M2</t>
  </si>
  <si>
    <t xml:space="preserve">Measures not approved; no management training</t>
  </si>
  <si>
    <t xml:space="preserve">Approve policy and measures plan; management training</t>
  </si>
  <si>
    <t xml:space="preserve">R12</t>
  </si>
  <si>
    <t xml:space="preserve">ERP outage stops order taking with no fallback</t>
  </si>
  <si>
    <t xml:space="preserve">c4, c5</t>
  </si>
  <si>
    <t xml:space="preserve">No manual fallback; no recovery targets</t>
  </si>
  <si>
    <t xml:space="preserve">Manual fallback procedure; agreed recovery targets</t>
  </si>
  <si>
    <t xml:space="preserve">Company profile (fictional)</t>
  </si>
  <si>
    <t xml:space="preserve">Name</t>
  </si>
  <si>
    <t xml:space="preserve">Kertvár Food Distribution Kft.</t>
  </si>
  <si>
    <t xml:space="preserve">Sector</t>
  </si>
  <si>
    <t xml:space="preserve">Food — wholesale distribution (NIS2 Annex II)</t>
  </si>
  <si>
    <t xml:space="preserve">Staff</t>
  </si>
  <si>
    <t xml:space="preserve">140 (office 35, warehouse 70, drivers 35)</t>
  </si>
  <si>
    <t xml:space="preserve">Annual revenue</t>
  </si>
  <si>
    <t xml:space="preserve">~€28 million</t>
  </si>
  <si>
    <t xml:space="preserve">Size class</t>
  </si>
  <si>
    <t xml:space="preserve">Medium-sized enterprise</t>
  </si>
  <si>
    <t xml:space="preserve">NIS2 status</t>
  </si>
  <si>
    <t xml:space="preserve">Important entity</t>
  </si>
  <si>
    <t xml:space="preserve">What they do</t>
  </si>
  <si>
    <t xml:space="preserve">Delivers chilled, frozen and dry food to ~900 restaurants, hotels, school kitchens and shops in Budapest and Pest County.</t>
  </si>
  <si>
    <t xml:space="preserve">Location</t>
  </si>
  <si>
    <t xml:space="preserve">One site on the southern edge of Budapest: offices, dry warehouse, cold store.</t>
  </si>
  <si>
    <t xml:space="preserve">ERP</t>
  </si>
  <si>
    <t xml:space="preserve">SAP Business One, run by an outside SAP partner (orders, stock, invoicing, NAV Online Számla).</t>
  </si>
  <si>
    <t xml:space="preserve">Server room</t>
  </si>
  <si>
    <t xml:space="preserve">One physical server (SAP, file share, domain controller); NAS backup in the same room.</t>
  </si>
  <si>
    <t xml:space="preserve">Email and office</t>
  </si>
  <si>
    <t xml:space="preserve">Microsoft 365 Business; MFA only for IT admin and managing director.</t>
  </si>
  <si>
    <t xml:space="preserve">Devices</t>
  </si>
  <si>
    <t xml:space="preserve">~45 Windows PCs/laptops, 25 warehouse scanners, 35 driver Android phones.</t>
  </si>
  <si>
    <t xml:space="preserve">Other systems</t>
  </si>
  <si>
    <t xml:space="preserve">B2B web shop (web agency); cold store sensors with vendor cloud dashboard; payroll outsourced (NEXON).</t>
  </si>
  <si>
    <t xml:space="preserve">Network</t>
  </si>
  <si>
    <t xml:space="preserve">One internet line and firewall; SAP partner and IT contractor have permanent remote access.</t>
  </si>
  <si>
    <t xml:space="preserve">IT staff</t>
  </si>
  <si>
    <t xml:space="preserve">One in-house IT administrator plus an outside IT contractor (MSP); no security role.</t>
  </si>
  <si>
    <t xml:space="preserve">Key suppliers</t>
  </si>
  <si>
    <t xml:space="preserve">SAP partner, IT contractor, refrigeration vendor, web agency, payroll bureau.</t>
  </si>
  <si>
    <t xml:space="preserve">Method and sources</t>
  </si>
  <si>
    <t xml:space="preserve">Scoring</t>
  </si>
  <si>
    <t xml:space="preserve">Yes = 2, Partial = 1, No = 0, N/A excluded. Area score = points achieved ÷ points possible.</t>
  </si>
  <si>
    <t xml:space="preserve">Weight</t>
  </si>
  <si>
    <t xml:space="preserve">1 = useful, 2 = important, 3 = critical. Set per question by the reviewer.</t>
  </si>
  <si>
    <t xml:space="preserve">(2 − points) × weight. High ≥ 4, Medium 2–3, Low 1.</t>
  </si>
  <si>
    <t xml:space="preserve">Area rating</t>
  </si>
  <si>
    <t xml:space="preserve">Good ≥ 75%, Partial 50–74%, Weak &lt; 50%.</t>
  </si>
  <si>
    <t xml:space="preserve">Risk score</t>
  </si>
  <si>
    <t xml:space="preserve">Likelihood (1–5) × impact (1–5). High ≥ 15, Medium 8–14, Low &lt; 8.</t>
  </si>
  <si>
    <t xml:space="preserve">Limitations</t>
  </si>
  <si>
    <t xml:space="preserve">Self-assessment based on interviews/answers, not evidence testing. Not a legal opinion and not a NIS2 audit.</t>
  </si>
  <si>
    <t xml:space="preserve">Source</t>
  </si>
  <si>
    <t xml:space="preserve">NIS2 Directive (EU) 2022/2555, Art. 20, 21, 23 — eur-lex.europa.eu</t>
  </si>
  <si>
    <t xml:space="preserve">Act LXIX of 2024 on the cybersecurity of Hungary — njt.hu/jogszabaly/en/2024-69-00-00</t>
  </si>
  <si>
    <t xml:space="preserve">Decree 418/2024 (detailed security measures, Hungary) — for a deeper control mapping later</t>
  </si>
  <si>
    <t xml:space="preserve">Input colours</t>
  </si>
  <si>
    <t xml:space="preserve">Yellow cells with blue text are inputs; green text links to another sheet; black is calculated.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</si>
</sst>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5A8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D5A88"/>
        <bgColor rgb="FF666666"/>
      </patternFill>
    </fill>
    <fill>
      <patternFill patternType="solid">
        <fgColor rgb="FFFFF9C4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9C4"/>
      <rgbColor rgb="FFF9F9F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3CD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D5A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 per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Scores!G3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Scores!$B$4:$B$14</c:f>
              <c:strCache>
                <c:ptCount val="11"/>
                <c:pt idx="0">
                  <c:v>Management responsibility</c:v>
                </c:pt>
                <c:pt idx="1">
                  <c:v>Risk analysis and security policies</c:v>
                </c:pt>
                <c:pt idx="2">
                  <c:v>Incident handling and reporting</c:v>
                </c:pt>
                <c:pt idx="3">
                  <c:v>Business continuity and backups</c:v>
                </c:pt>
                <c:pt idx="4">
                  <c:v>Supply chain security</c:v>
                </c:pt>
                <c:pt idx="5">
                  <c:v>Secure acquisition, development and maintenance</c:v>
                </c:pt>
                <c:pt idx="6">
                  <c:v>Effectiveness assessment</c:v>
                </c:pt>
                <c:pt idx="7">
                  <c:v>Cyber hygiene and training</c:v>
                </c:pt>
                <c:pt idx="8">
                  <c:v>Cryptography and encryption</c:v>
                </c:pt>
                <c:pt idx="9">
                  <c:v>HR security, access control and assets</c:v>
                </c:pt>
                <c:pt idx="10">
                  <c:v>MFA and secure communications</c:v>
                </c:pt>
              </c:strCache>
            </c:strRef>
          </c:cat>
          <c:val>
            <c:numRef>
              <c:f>Scores!$G$4:$G$14</c:f>
              <c:numCache>
                <c:formatCode>0%</c:formatCode>
                <c:ptCount val="11"/>
                <c:pt idx="0">
                  <c:v>0.375</c:v>
                </c:pt>
                <c:pt idx="1">
                  <c:v>0.125</c:v>
                </c:pt>
                <c:pt idx="2">
                  <c:v>0.2</c:v>
                </c:pt>
                <c:pt idx="3">
                  <c:v>0.3</c:v>
                </c:pt>
                <c:pt idx="4">
                  <c:v>0.125</c:v>
                </c:pt>
                <c:pt idx="5">
                  <c:v>0.25</c:v>
                </c:pt>
                <c:pt idx="6">
                  <c:v>0</c:v>
                </c:pt>
                <c:pt idx="7">
                  <c:v>0.375</c:v>
                </c:pt>
                <c:pt idx="8">
                  <c:v>0.625</c:v>
                </c:pt>
                <c:pt idx="9">
                  <c:v>0.2</c:v>
                </c:pt>
                <c:pt idx="10">
                  <c:v>0.25</c:v>
                </c:pt>
              </c:numCache>
            </c:numRef>
          </c:val>
        </c:ser>
        <c:gapWidth val="150"/>
        <c:overlap val="0"/>
        <c:axId val="53059286"/>
        <c:axId val="97972687"/>
      </c:barChart>
      <c:catAx>
        <c:axId val="530592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72687"/>
        <c:crosses val="autoZero"/>
        <c:auto val="1"/>
        <c:lblAlgn val="ctr"/>
        <c:lblOffset val="100"/>
        <c:noMultiLvlLbl val="0"/>
      </c:catAx>
      <c:valAx>
        <c:axId val="9797268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592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10080</xdr:rowOff>
    </xdr:from>
    <xdr:to>
      <xdr:col>4</xdr:col>
      <xdr:colOff>770400</xdr:colOff>
      <xdr:row>34</xdr:row>
      <xdr:rowOff>11160</xdr:rowOff>
    </xdr:to>
    <xdr:graphicFrame>
      <xdr:nvGraphicFramePr>
        <xdr:cNvPr id="0" name="Chart 1"/>
        <xdr:cNvGraphicFramePr/>
      </xdr:nvGraphicFramePr>
      <xdr:xfrm>
        <a:off x="0" y="3429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32.8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26.85" hidden="false" customHeight="true" outlineLevel="0" collapsed="false">
      <c r="A3" s="3" t="s">
        <v>2</v>
      </c>
      <c r="B3" s="3"/>
    </row>
    <row r="5" customFormat="false" ht="1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4" t="s">
        <v>4</v>
      </c>
      <c r="B6" s="4" t="s">
        <v>5</v>
      </c>
    </row>
    <row r="7" customFormat="false" ht="26.85" hidden="false" customHeight="false" outlineLevel="0" collapsed="false">
      <c r="A7" s="4" t="s">
        <v>6</v>
      </c>
      <c r="B7" s="4" t="s">
        <v>7</v>
      </c>
    </row>
    <row r="8" customFormat="false" ht="26.85" hidden="false" customHeight="false" outlineLevel="0" collapsed="false">
      <c r="A8" s="4" t="s">
        <v>8</v>
      </c>
      <c r="B8" s="4" t="s">
        <v>9</v>
      </c>
    </row>
    <row r="9" customFormat="false" ht="26.85" hidden="false" customHeight="false" outlineLevel="0" collapsed="false">
      <c r="A9" s="4" t="s">
        <v>10</v>
      </c>
      <c r="B9" s="4" t="s">
        <v>11</v>
      </c>
    </row>
    <row r="11" customFormat="false" ht="15" hidden="false" customHeight="false" outlineLevel="0" collapsed="false">
      <c r="A11" s="2" t="s">
        <v>12</v>
      </c>
    </row>
    <row r="12" customFormat="false" ht="15" hidden="false" customHeight="false" outlineLevel="0" collapsed="false">
      <c r="A12" s="4" t="s">
        <v>13</v>
      </c>
      <c r="B12" s="5" t="n">
        <f aca="false">Scores!G15</f>
        <v>0.260869565217391</v>
      </c>
    </row>
    <row r="13" customFormat="false" ht="15" hidden="false" customHeight="false" outlineLevel="0" collapsed="false">
      <c r="A13" s="4" t="s">
        <v>14</v>
      </c>
      <c r="B13" s="6" t="str">
        <f aca="false">Scores!H15</f>
        <v>Weak</v>
      </c>
    </row>
    <row r="14" customFormat="false" ht="15" hidden="false" customHeight="false" outlineLevel="0" collapsed="false">
      <c r="A14" s="4" t="s">
        <v>15</v>
      </c>
      <c r="B14" s="6" t="n">
        <f aca="false">Scores!I15</f>
        <v>22</v>
      </c>
    </row>
    <row r="15" customFormat="false" ht="15" hidden="false" customHeight="false" outlineLevel="0" collapsed="false">
      <c r="A15" s="4" t="s">
        <v>16</v>
      </c>
      <c r="B15" s="6" t="n">
        <f aca="false">COUNTIF('Risk register'!I5:I16,"High")</f>
        <v>3</v>
      </c>
    </row>
    <row r="16" customFormat="false" ht="15" hidden="false" customHeight="false" outlineLevel="0" collapsed="false">
      <c r="A16" s="4" t="s">
        <v>17</v>
      </c>
      <c r="B16" s="6" t="str">
        <f aca="false">INDEX(Scores!B4:B14,MATCH(MIN(Scores!G4:G14),Scores!G4:G14,0))</f>
        <v>Effectiveness assessment</v>
      </c>
    </row>
    <row r="17" customFormat="false" ht="15" hidden="false" customHeight="false" outlineLevel="0" collapsed="false">
      <c r="A17" s="4" t="s">
        <v>18</v>
      </c>
      <c r="B17" s="6" t="str">
        <f aca="false">INDEX(Scores!B4:B14,MATCH(MAX(Scores!G4:G14),Scores!G4:G14,0))</f>
        <v>Cryptography and encryption</v>
      </c>
    </row>
    <row r="19" customFormat="false" ht="15" hidden="false" customHeight="false" outlineLevel="0" collapsed="false">
      <c r="A19" s="2" t="s">
        <v>19</v>
      </c>
    </row>
    <row r="20" customFormat="false" ht="26.85" hidden="false" customHeight="false" outlineLevel="0" collapsed="false">
      <c r="A20" s="4" t="s">
        <v>20</v>
      </c>
      <c r="B20" s="4" t="s">
        <v>21</v>
      </c>
    </row>
    <row r="21" customFormat="false" ht="26.85" hidden="false" customHeight="false" outlineLevel="0" collapsed="false">
      <c r="A21" s="4" t="s">
        <v>22</v>
      </c>
      <c r="B21" s="4" t="s">
        <v>23</v>
      </c>
    </row>
    <row r="22" customFormat="false" ht="26.85" hidden="false" customHeight="false" outlineLevel="0" collapsed="false">
      <c r="A22" s="4" t="s">
        <v>24</v>
      </c>
      <c r="B22" s="4" t="s">
        <v>25</v>
      </c>
    </row>
    <row r="23" customFormat="false" ht="26.85" hidden="false" customHeight="false" outlineLevel="0" collapsed="false">
      <c r="A23" s="4" t="s">
        <v>26</v>
      </c>
      <c r="B23" s="4" t="s">
        <v>27</v>
      </c>
    </row>
    <row r="24" customFormat="false" ht="26.85" hidden="false" customHeight="false" outlineLevel="0" collapsed="false">
      <c r="A24" s="4" t="s">
        <v>28</v>
      </c>
      <c r="B24" s="4" t="s">
        <v>29</v>
      </c>
    </row>
    <row r="26" customFormat="false" ht="26.85" hidden="false" customHeight="false" outlineLevel="0" collapsed="false">
      <c r="A26" s="2" t="s">
        <v>30</v>
      </c>
    </row>
    <row r="27" customFormat="false" ht="26.85" hidden="false" customHeight="false" outlineLevel="0" collapsed="false">
      <c r="A27" s="4" t="s">
        <v>31</v>
      </c>
      <c r="B27" s="4" t="s">
        <v>32</v>
      </c>
    </row>
    <row r="28" customFormat="false" ht="15" hidden="false" customHeight="false" outlineLevel="0" collapsed="false">
      <c r="A28" s="4" t="s">
        <v>33</v>
      </c>
      <c r="B28" s="4" t="s">
        <v>34</v>
      </c>
    </row>
    <row r="29" customFormat="false" ht="26.85" hidden="false" customHeight="false" outlineLevel="0" collapsed="false">
      <c r="A29" s="4" t="s">
        <v>35</v>
      </c>
      <c r="B29" s="4" t="s">
        <v>36</v>
      </c>
    </row>
    <row r="30" customFormat="false" ht="15" hidden="false" customHeight="false" outlineLevel="0" collapsed="false">
      <c r="A30" s="4" t="s">
        <v>37</v>
      </c>
      <c r="B30" s="4" t="s">
        <v>38</v>
      </c>
    </row>
    <row r="31" customFormat="false" ht="26.85" hidden="false" customHeight="false" outlineLevel="0" collapsed="false">
      <c r="A31" s="4" t="s">
        <v>39</v>
      </c>
      <c r="B31" s="4" t="s">
        <v>40</v>
      </c>
    </row>
    <row r="33" customFormat="false" ht="15" hidden="false" customHeight="false" outlineLevel="0" collapsed="false">
      <c r="A33" s="7" t="s">
        <v>41</v>
      </c>
      <c r="B33" s="4" t="s">
        <v>42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1" min="10" style="0" width="42"/>
  </cols>
  <sheetData>
    <row r="1" customFormat="false" ht="17.35" hidden="false" customHeight="false" outlineLevel="0" collapsed="false">
      <c r="A1" s="8" t="s">
        <v>43</v>
      </c>
    </row>
    <row r="2" customFormat="false" ht="15" hidden="false" customHeight="false" outlineLevel="0" collapsed="false">
      <c r="A2" s="9" t="s">
        <v>44</v>
      </c>
    </row>
    <row r="4" customFormat="false" ht="26.85" hidden="false" customHeight="false" outlineLevel="0" collapsed="false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  <c r="K4" s="10" t="s">
        <v>55</v>
      </c>
    </row>
    <row r="5" customFormat="false" ht="26.85" hidden="false" customHeight="false" outlineLevel="0" collapsed="false">
      <c r="A5" s="11" t="s">
        <v>56</v>
      </c>
      <c r="B5" s="11" t="s">
        <v>57</v>
      </c>
      <c r="C5" s="11" t="s">
        <v>58</v>
      </c>
      <c r="D5" s="11" t="s">
        <v>59</v>
      </c>
      <c r="E5" s="12" t="s">
        <v>60</v>
      </c>
      <c r="F5" s="12" t="n">
        <v>3</v>
      </c>
      <c r="G5" s="11" t="n">
        <f aca="false">IF(E5="Yes",2,IF(E5="Partial",1,IF(E5="No",0,"")))</f>
        <v>0</v>
      </c>
      <c r="H5" s="11" t="n">
        <f aca="false">IF(G5="",0,(2-G5)*F5)</f>
        <v>6</v>
      </c>
      <c r="I5" s="11" t="str">
        <f aca="false">IF(H5&gt;=4,"High",IF(H5&gt;=2,"Medium",IF(H5&gt;=1,"Low","None")))</f>
        <v>High</v>
      </c>
      <c r="J5" s="11" t="s">
        <v>61</v>
      </c>
      <c r="K5" s="11" t="s">
        <v>62</v>
      </c>
    </row>
    <row r="6" customFormat="false" ht="26.85" hidden="false" customHeight="false" outlineLevel="0" collapsed="false">
      <c r="A6" s="11" t="s">
        <v>63</v>
      </c>
      <c r="B6" s="11" t="s">
        <v>57</v>
      </c>
      <c r="C6" s="11" t="s">
        <v>58</v>
      </c>
      <c r="D6" s="11" t="s">
        <v>64</v>
      </c>
      <c r="E6" s="12" t="s">
        <v>60</v>
      </c>
      <c r="F6" s="12" t="n">
        <v>2</v>
      </c>
      <c r="G6" s="11" t="n">
        <f aca="false">IF(E6="Yes",2,IF(E6="Partial",1,IF(E6="No",0,"")))</f>
        <v>0</v>
      </c>
      <c r="H6" s="11" t="n">
        <f aca="false">IF(G6="",0,(2-G6)*F6)</f>
        <v>4</v>
      </c>
      <c r="I6" s="11" t="str">
        <f aca="false">IF(H6&gt;=4,"High",IF(H6&gt;=2,"Medium",IF(H6&gt;=1,"Low","None")))</f>
        <v>High</v>
      </c>
      <c r="J6" s="11" t="s">
        <v>65</v>
      </c>
      <c r="K6" s="11" t="s">
        <v>66</v>
      </c>
    </row>
    <row r="7" customFormat="false" ht="26.85" hidden="false" customHeight="false" outlineLevel="0" collapsed="false">
      <c r="A7" s="11" t="s">
        <v>67</v>
      </c>
      <c r="B7" s="11" t="s">
        <v>57</v>
      </c>
      <c r="C7" s="11" t="s">
        <v>58</v>
      </c>
      <c r="D7" s="11" t="s">
        <v>68</v>
      </c>
      <c r="E7" s="12" t="s">
        <v>69</v>
      </c>
      <c r="F7" s="12" t="n">
        <v>2</v>
      </c>
      <c r="G7" s="11" t="n">
        <f aca="false">IF(E7="Yes",2,IF(E7="Partial",1,IF(E7="No",0,"")))</f>
        <v>1</v>
      </c>
      <c r="H7" s="11" t="n">
        <f aca="false">IF(G7="",0,(2-G7)*F7)</f>
        <v>2</v>
      </c>
      <c r="I7" s="11" t="str">
        <f aca="false">IF(H7&gt;=4,"High",IF(H7&gt;=2,"Medium",IF(H7&gt;=1,"Low","None")))</f>
        <v>Medium</v>
      </c>
      <c r="J7" s="11" t="s">
        <v>70</v>
      </c>
      <c r="K7" s="11" t="s">
        <v>71</v>
      </c>
    </row>
    <row r="8" customFormat="false" ht="26.85" hidden="false" customHeight="false" outlineLevel="0" collapsed="false">
      <c r="A8" s="11" t="s">
        <v>72</v>
      </c>
      <c r="B8" s="11" t="s">
        <v>57</v>
      </c>
      <c r="C8" s="11" t="s">
        <v>58</v>
      </c>
      <c r="D8" s="11" t="s">
        <v>73</v>
      </c>
      <c r="E8" s="12" t="s">
        <v>74</v>
      </c>
      <c r="F8" s="12" t="n">
        <v>1</v>
      </c>
      <c r="G8" s="11" t="n">
        <f aca="false">IF(E8="Yes",2,IF(E8="Partial",1,IF(E8="No",0,"")))</f>
        <v>2</v>
      </c>
      <c r="H8" s="11" t="n">
        <f aca="false">IF(G8="",0,(2-G8)*F8)</f>
        <v>0</v>
      </c>
      <c r="I8" s="11" t="str">
        <f aca="false">IF(H8&gt;=4,"High",IF(H8&gt;=2,"Medium",IF(H8&gt;=1,"Low","None")))</f>
        <v>None</v>
      </c>
      <c r="J8" s="11" t="s">
        <v>75</v>
      </c>
      <c r="K8" s="11" t="s">
        <v>76</v>
      </c>
    </row>
    <row r="9" customFormat="false" ht="26.85" hidden="false" customHeight="false" outlineLevel="0" collapsed="false">
      <c r="A9" s="11" t="s">
        <v>77</v>
      </c>
      <c r="B9" s="11" t="s">
        <v>78</v>
      </c>
      <c r="C9" s="11" t="s">
        <v>79</v>
      </c>
      <c r="D9" s="11" t="s">
        <v>80</v>
      </c>
      <c r="E9" s="12" t="s">
        <v>60</v>
      </c>
      <c r="F9" s="12" t="n">
        <v>3</v>
      </c>
      <c r="G9" s="11" t="n">
        <f aca="false">IF(E9="Yes",2,IF(E9="Partial",1,IF(E9="No",0,"")))</f>
        <v>0</v>
      </c>
      <c r="H9" s="11" t="n">
        <f aca="false">IF(G9="",0,(2-G9)*F9)</f>
        <v>6</v>
      </c>
      <c r="I9" s="11" t="str">
        <f aca="false">IF(H9&gt;=4,"High",IF(H9&gt;=2,"Medium",IF(H9&gt;=1,"Low","None")))</f>
        <v>High</v>
      </c>
      <c r="J9" s="11" t="s">
        <v>81</v>
      </c>
      <c r="K9" s="11" t="s">
        <v>82</v>
      </c>
    </row>
    <row r="10" customFormat="false" ht="26.85" hidden="false" customHeight="false" outlineLevel="0" collapsed="false">
      <c r="A10" s="11" t="s">
        <v>83</v>
      </c>
      <c r="B10" s="11" t="s">
        <v>78</v>
      </c>
      <c r="C10" s="11" t="s">
        <v>79</v>
      </c>
      <c r="D10" s="11" t="s">
        <v>84</v>
      </c>
      <c r="E10" s="12" t="s">
        <v>60</v>
      </c>
      <c r="F10" s="12" t="n">
        <v>3</v>
      </c>
      <c r="G10" s="11" t="n">
        <f aca="false">IF(E10="Yes",2,IF(E10="Partial",1,IF(E10="No",0,"")))</f>
        <v>0</v>
      </c>
      <c r="H10" s="11" t="n">
        <f aca="false">IF(G10="",0,(2-G10)*F10)</f>
        <v>6</v>
      </c>
      <c r="I10" s="11" t="str">
        <f aca="false">IF(H10&gt;=4,"High",IF(H10&gt;=2,"Medium",IF(H10&gt;=1,"Low","None")))</f>
        <v>High</v>
      </c>
      <c r="J10" s="11" t="s">
        <v>85</v>
      </c>
      <c r="K10" s="11" t="s">
        <v>86</v>
      </c>
    </row>
    <row r="11" customFormat="false" ht="26.85" hidden="false" customHeight="false" outlineLevel="0" collapsed="false">
      <c r="A11" s="11" t="s">
        <v>87</v>
      </c>
      <c r="B11" s="11" t="s">
        <v>78</v>
      </c>
      <c r="C11" s="11" t="s">
        <v>79</v>
      </c>
      <c r="D11" s="11" t="s">
        <v>88</v>
      </c>
      <c r="E11" s="12" t="s">
        <v>69</v>
      </c>
      <c r="F11" s="12" t="n">
        <v>2</v>
      </c>
      <c r="G11" s="11" t="n">
        <f aca="false">IF(E11="Yes",2,IF(E11="Partial",1,IF(E11="No",0,"")))</f>
        <v>1</v>
      </c>
      <c r="H11" s="11" t="n">
        <f aca="false">IF(G11="",0,(2-G11)*F11)</f>
        <v>2</v>
      </c>
      <c r="I11" s="11" t="str">
        <f aca="false">IF(H11&gt;=4,"High",IF(H11&gt;=2,"Medium",IF(H11&gt;=1,"Low","None")))</f>
        <v>Medium</v>
      </c>
      <c r="J11" s="11" t="s">
        <v>89</v>
      </c>
      <c r="K11" s="11" t="s">
        <v>90</v>
      </c>
    </row>
    <row r="12" customFormat="false" ht="26.85" hidden="false" customHeight="false" outlineLevel="0" collapsed="false">
      <c r="A12" s="11" t="s">
        <v>91</v>
      </c>
      <c r="B12" s="11" t="s">
        <v>78</v>
      </c>
      <c r="C12" s="11" t="s">
        <v>79</v>
      </c>
      <c r="D12" s="11" t="s">
        <v>92</v>
      </c>
      <c r="E12" s="12" t="s">
        <v>60</v>
      </c>
      <c r="F12" s="12" t="n">
        <v>1</v>
      </c>
      <c r="G12" s="11" t="n">
        <f aca="false">IF(E12="Yes",2,IF(E12="Partial",1,IF(E12="No",0,"")))</f>
        <v>0</v>
      </c>
      <c r="H12" s="11" t="n">
        <f aca="false">IF(G12="",0,(2-G12)*F12)</f>
        <v>2</v>
      </c>
      <c r="I12" s="11" t="str">
        <f aca="false">IF(H12&gt;=4,"High",IF(H12&gt;=2,"Medium",IF(H12&gt;=1,"Low","None")))</f>
        <v>Medium</v>
      </c>
      <c r="J12" s="11" t="s">
        <v>93</v>
      </c>
      <c r="K12" s="11" t="s">
        <v>94</v>
      </c>
    </row>
    <row r="13" customFormat="false" ht="26.85" hidden="false" customHeight="false" outlineLevel="0" collapsed="false">
      <c r="A13" s="11" t="s">
        <v>95</v>
      </c>
      <c r="B13" s="11" t="s">
        <v>96</v>
      </c>
      <c r="C13" s="11" t="s">
        <v>97</v>
      </c>
      <c r="D13" s="11" t="s">
        <v>98</v>
      </c>
      <c r="E13" s="12" t="s">
        <v>60</v>
      </c>
      <c r="F13" s="12" t="n">
        <v>3</v>
      </c>
      <c r="G13" s="11" t="n">
        <f aca="false">IF(E13="Yes",2,IF(E13="Partial",1,IF(E13="No",0,"")))</f>
        <v>0</v>
      </c>
      <c r="H13" s="11" t="n">
        <f aca="false">IF(G13="",0,(2-G13)*F13)</f>
        <v>6</v>
      </c>
      <c r="I13" s="11" t="str">
        <f aca="false">IF(H13&gt;=4,"High",IF(H13&gt;=2,"Medium",IF(H13&gt;=1,"Low","None")))</f>
        <v>High</v>
      </c>
      <c r="J13" s="11" t="s">
        <v>99</v>
      </c>
      <c r="K13" s="11" t="s">
        <v>100</v>
      </c>
    </row>
    <row r="14" customFormat="false" ht="26.85" hidden="false" customHeight="false" outlineLevel="0" collapsed="false">
      <c r="A14" s="11" t="s">
        <v>101</v>
      </c>
      <c r="B14" s="11" t="s">
        <v>96</v>
      </c>
      <c r="C14" s="11" t="s">
        <v>97</v>
      </c>
      <c r="D14" s="11" t="s">
        <v>102</v>
      </c>
      <c r="E14" s="12" t="s">
        <v>69</v>
      </c>
      <c r="F14" s="12" t="n">
        <v>2</v>
      </c>
      <c r="G14" s="11" t="n">
        <f aca="false">IF(E14="Yes",2,IF(E14="Partial",1,IF(E14="No",0,"")))</f>
        <v>1</v>
      </c>
      <c r="H14" s="11" t="n">
        <f aca="false">IF(G14="",0,(2-G14)*F14)</f>
        <v>2</v>
      </c>
      <c r="I14" s="11" t="str">
        <f aca="false">IF(H14&gt;=4,"High",IF(H14&gt;=2,"Medium",IF(H14&gt;=1,"Low","None")))</f>
        <v>Medium</v>
      </c>
      <c r="J14" s="11" t="s">
        <v>103</v>
      </c>
      <c r="K14" s="11" t="s">
        <v>104</v>
      </c>
    </row>
    <row r="15" customFormat="false" ht="39.55" hidden="false" customHeight="false" outlineLevel="0" collapsed="false">
      <c r="A15" s="11" t="s">
        <v>105</v>
      </c>
      <c r="B15" s="11" t="s">
        <v>96</v>
      </c>
      <c r="C15" s="11" t="s">
        <v>97</v>
      </c>
      <c r="D15" s="11" t="s">
        <v>106</v>
      </c>
      <c r="E15" s="12" t="s">
        <v>60</v>
      </c>
      <c r="F15" s="12" t="n">
        <v>3</v>
      </c>
      <c r="G15" s="11" t="n">
        <f aca="false">IF(E15="Yes",2,IF(E15="Partial",1,IF(E15="No",0,"")))</f>
        <v>0</v>
      </c>
      <c r="H15" s="11" t="n">
        <f aca="false">IF(G15="",0,(2-G15)*F15)</f>
        <v>6</v>
      </c>
      <c r="I15" s="11" t="str">
        <f aca="false">IF(H15&gt;=4,"High",IF(H15&gt;=2,"Medium",IF(H15&gt;=1,"Low","None")))</f>
        <v>High</v>
      </c>
      <c r="J15" s="11" t="s">
        <v>107</v>
      </c>
      <c r="K15" s="11" t="s">
        <v>108</v>
      </c>
    </row>
    <row r="16" customFormat="false" ht="26.85" hidden="false" customHeight="false" outlineLevel="0" collapsed="false">
      <c r="A16" s="11" t="s">
        <v>109</v>
      </c>
      <c r="B16" s="11" t="s">
        <v>96</v>
      </c>
      <c r="C16" s="11" t="s">
        <v>97</v>
      </c>
      <c r="D16" s="11" t="s">
        <v>110</v>
      </c>
      <c r="E16" s="12" t="s">
        <v>69</v>
      </c>
      <c r="F16" s="12" t="n">
        <v>2</v>
      </c>
      <c r="G16" s="11" t="n">
        <f aca="false">IF(E16="Yes",2,IF(E16="Partial",1,IF(E16="No",0,"")))</f>
        <v>1</v>
      </c>
      <c r="H16" s="11" t="n">
        <f aca="false">IF(G16="",0,(2-G16)*F16)</f>
        <v>2</v>
      </c>
      <c r="I16" s="11" t="str">
        <f aca="false">IF(H16&gt;=4,"High",IF(H16&gt;=2,"Medium",IF(H16&gt;=1,"Low","None")))</f>
        <v>Medium</v>
      </c>
      <c r="J16" s="11" t="s">
        <v>111</v>
      </c>
      <c r="K16" s="11" t="s">
        <v>112</v>
      </c>
    </row>
    <row r="17" customFormat="false" ht="26.85" hidden="false" customHeight="false" outlineLevel="0" collapsed="false">
      <c r="A17" s="11" t="s">
        <v>113</v>
      </c>
      <c r="B17" s="11" t="s">
        <v>96</v>
      </c>
      <c r="C17" s="11" t="s">
        <v>97</v>
      </c>
      <c r="D17" s="11" t="s">
        <v>114</v>
      </c>
      <c r="E17" s="12" t="s">
        <v>60</v>
      </c>
      <c r="F17" s="12" t="n">
        <v>1</v>
      </c>
      <c r="G17" s="11" t="n">
        <f aca="false">IF(E17="Yes",2,IF(E17="Partial",1,IF(E17="No",0,"")))</f>
        <v>0</v>
      </c>
      <c r="H17" s="11" t="n">
        <f aca="false">IF(G17="",0,(2-G17)*F17)</f>
        <v>2</v>
      </c>
      <c r="I17" s="11" t="str">
        <f aca="false">IF(H17&gt;=4,"High",IF(H17&gt;=2,"Medium",IF(H17&gt;=1,"Low","None")))</f>
        <v>Medium</v>
      </c>
      <c r="J17" s="11" t="s">
        <v>115</v>
      </c>
      <c r="K17" s="11" t="s">
        <v>116</v>
      </c>
    </row>
    <row r="18" customFormat="false" ht="26.85" hidden="false" customHeight="false" outlineLevel="0" collapsed="false">
      <c r="A18" s="11" t="s">
        <v>117</v>
      </c>
      <c r="B18" s="11" t="s">
        <v>118</v>
      </c>
      <c r="C18" s="11" t="s">
        <v>119</v>
      </c>
      <c r="D18" s="11" t="s">
        <v>120</v>
      </c>
      <c r="E18" s="12" t="s">
        <v>74</v>
      </c>
      <c r="F18" s="12" t="n">
        <v>3</v>
      </c>
      <c r="G18" s="11" t="n">
        <f aca="false">IF(E18="Yes",2,IF(E18="Partial",1,IF(E18="No",0,"")))</f>
        <v>2</v>
      </c>
      <c r="H18" s="11" t="n">
        <f aca="false">IF(G18="",0,(2-G18)*F18)</f>
        <v>0</v>
      </c>
      <c r="I18" s="11" t="str">
        <f aca="false">IF(H18&gt;=4,"High",IF(H18&gt;=2,"Medium",IF(H18&gt;=1,"Low","None")))</f>
        <v>None</v>
      </c>
      <c r="J18" s="11" t="s">
        <v>121</v>
      </c>
      <c r="K18" s="11" t="s">
        <v>122</v>
      </c>
    </row>
    <row r="19" customFormat="false" ht="26.85" hidden="false" customHeight="false" outlineLevel="0" collapsed="false">
      <c r="A19" s="11" t="s">
        <v>123</v>
      </c>
      <c r="B19" s="11" t="s">
        <v>118</v>
      </c>
      <c r="C19" s="11" t="s">
        <v>119</v>
      </c>
      <c r="D19" s="11" t="s">
        <v>124</v>
      </c>
      <c r="E19" s="12" t="s">
        <v>60</v>
      </c>
      <c r="F19" s="12" t="n">
        <v>3</v>
      </c>
      <c r="G19" s="11" t="n">
        <f aca="false">IF(E19="Yes",2,IF(E19="Partial",1,IF(E19="No",0,"")))</f>
        <v>0</v>
      </c>
      <c r="H19" s="11" t="n">
        <f aca="false">IF(G19="",0,(2-G19)*F19)</f>
        <v>6</v>
      </c>
      <c r="I19" s="11" t="str">
        <f aca="false">IF(H19&gt;=4,"High",IF(H19&gt;=2,"Medium",IF(H19&gt;=1,"Low","None")))</f>
        <v>High</v>
      </c>
      <c r="J19" s="11" t="s">
        <v>125</v>
      </c>
      <c r="K19" s="11" t="s">
        <v>126</v>
      </c>
    </row>
    <row r="20" customFormat="false" ht="26.85" hidden="false" customHeight="false" outlineLevel="0" collapsed="false">
      <c r="A20" s="11" t="s">
        <v>127</v>
      </c>
      <c r="B20" s="11" t="s">
        <v>118</v>
      </c>
      <c r="C20" s="11" t="s">
        <v>119</v>
      </c>
      <c r="D20" s="11" t="s">
        <v>128</v>
      </c>
      <c r="E20" s="12" t="s">
        <v>60</v>
      </c>
      <c r="F20" s="12" t="n">
        <v>3</v>
      </c>
      <c r="G20" s="11" t="n">
        <f aca="false">IF(E20="Yes",2,IF(E20="Partial",1,IF(E20="No",0,"")))</f>
        <v>0</v>
      </c>
      <c r="H20" s="11" t="n">
        <f aca="false">IF(G20="",0,(2-G20)*F20)</f>
        <v>6</v>
      </c>
      <c r="I20" s="11" t="str">
        <f aca="false">IF(H20&gt;=4,"High",IF(H20&gt;=2,"Medium",IF(H20&gt;=1,"Low","None")))</f>
        <v>High</v>
      </c>
      <c r="J20" s="11" t="s">
        <v>129</v>
      </c>
      <c r="K20" s="11" t="s">
        <v>130</v>
      </c>
    </row>
    <row r="21" customFormat="false" ht="26.85" hidden="false" customHeight="false" outlineLevel="0" collapsed="false">
      <c r="A21" s="11" t="s">
        <v>131</v>
      </c>
      <c r="B21" s="11" t="s">
        <v>118</v>
      </c>
      <c r="C21" s="11" t="s">
        <v>119</v>
      </c>
      <c r="D21" s="11" t="s">
        <v>132</v>
      </c>
      <c r="E21" s="12" t="s">
        <v>69</v>
      </c>
      <c r="F21" s="12" t="n">
        <v>2</v>
      </c>
      <c r="G21" s="11" t="n">
        <f aca="false">IF(E21="Yes",2,IF(E21="Partial",1,IF(E21="No",0,"")))</f>
        <v>1</v>
      </c>
      <c r="H21" s="11" t="n">
        <f aca="false">IF(G21="",0,(2-G21)*F21)</f>
        <v>2</v>
      </c>
      <c r="I21" s="11" t="str">
        <f aca="false">IF(H21&gt;=4,"High",IF(H21&gt;=2,"Medium",IF(H21&gt;=1,"Low","None")))</f>
        <v>Medium</v>
      </c>
      <c r="J21" s="11" t="s">
        <v>133</v>
      </c>
      <c r="K21" s="11" t="s">
        <v>134</v>
      </c>
    </row>
    <row r="22" customFormat="false" ht="26.85" hidden="false" customHeight="false" outlineLevel="0" collapsed="false">
      <c r="A22" s="11" t="s">
        <v>135</v>
      </c>
      <c r="B22" s="11" t="s">
        <v>118</v>
      </c>
      <c r="C22" s="11" t="s">
        <v>119</v>
      </c>
      <c r="D22" s="11" t="s">
        <v>136</v>
      </c>
      <c r="E22" s="12" t="s">
        <v>60</v>
      </c>
      <c r="F22" s="12" t="n">
        <v>2</v>
      </c>
      <c r="G22" s="11" t="n">
        <f aca="false">IF(E22="Yes",2,IF(E22="Partial",1,IF(E22="No",0,"")))</f>
        <v>0</v>
      </c>
      <c r="H22" s="11" t="n">
        <f aca="false">IF(G22="",0,(2-G22)*F22)</f>
        <v>4</v>
      </c>
      <c r="I22" s="11" t="str">
        <f aca="false">IF(H22&gt;=4,"High",IF(H22&gt;=2,"Medium",IF(H22&gt;=1,"Low","None")))</f>
        <v>High</v>
      </c>
      <c r="J22" s="11" t="s">
        <v>137</v>
      </c>
      <c r="K22" s="11" t="s">
        <v>138</v>
      </c>
    </row>
    <row r="23" customFormat="false" ht="39.55" hidden="false" customHeight="false" outlineLevel="0" collapsed="false">
      <c r="A23" s="11" t="s">
        <v>139</v>
      </c>
      <c r="B23" s="11" t="s">
        <v>140</v>
      </c>
      <c r="C23" s="11" t="s">
        <v>141</v>
      </c>
      <c r="D23" s="11" t="s">
        <v>142</v>
      </c>
      <c r="E23" s="12" t="s">
        <v>69</v>
      </c>
      <c r="F23" s="12" t="n">
        <v>2</v>
      </c>
      <c r="G23" s="11" t="n">
        <f aca="false">IF(E23="Yes",2,IF(E23="Partial",1,IF(E23="No",0,"")))</f>
        <v>1</v>
      </c>
      <c r="H23" s="11" t="n">
        <f aca="false">IF(G23="",0,(2-G23)*F23)</f>
        <v>2</v>
      </c>
      <c r="I23" s="11" t="str">
        <f aca="false">IF(H23&gt;=4,"High",IF(H23&gt;=2,"Medium",IF(H23&gt;=1,"Low","None")))</f>
        <v>Medium</v>
      </c>
      <c r="J23" s="11" t="s">
        <v>143</v>
      </c>
      <c r="K23" s="11" t="s">
        <v>144</v>
      </c>
    </row>
    <row r="24" customFormat="false" ht="26.85" hidden="false" customHeight="false" outlineLevel="0" collapsed="false">
      <c r="A24" s="11" t="s">
        <v>145</v>
      </c>
      <c r="B24" s="11" t="s">
        <v>140</v>
      </c>
      <c r="C24" s="11" t="s">
        <v>141</v>
      </c>
      <c r="D24" s="11" t="s">
        <v>146</v>
      </c>
      <c r="E24" s="12" t="s">
        <v>60</v>
      </c>
      <c r="F24" s="12" t="n">
        <v>3</v>
      </c>
      <c r="G24" s="11" t="n">
        <f aca="false">IF(E24="Yes",2,IF(E24="Partial",1,IF(E24="No",0,"")))</f>
        <v>0</v>
      </c>
      <c r="H24" s="11" t="n">
        <f aca="false">IF(G24="",0,(2-G24)*F24)</f>
        <v>6</v>
      </c>
      <c r="I24" s="11" t="str">
        <f aca="false">IF(H24&gt;=4,"High",IF(H24&gt;=2,"Medium",IF(H24&gt;=1,"Low","None")))</f>
        <v>High</v>
      </c>
      <c r="J24" s="11" t="s">
        <v>147</v>
      </c>
      <c r="K24" s="11" t="s">
        <v>148</v>
      </c>
    </row>
    <row r="25" customFormat="false" ht="26.85" hidden="false" customHeight="false" outlineLevel="0" collapsed="false">
      <c r="A25" s="11" t="s">
        <v>149</v>
      </c>
      <c r="B25" s="11" t="s">
        <v>140</v>
      </c>
      <c r="C25" s="11" t="s">
        <v>141</v>
      </c>
      <c r="D25" s="11" t="s">
        <v>150</v>
      </c>
      <c r="E25" s="12" t="s">
        <v>60</v>
      </c>
      <c r="F25" s="12" t="n">
        <v>3</v>
      </c>
      <c r="G25" s="11" t="n">
        <f aca="false">IF(E25="Yes",2,IF(E25="Partial",1,IF(E25="No",0,"")))</f>
        <v>0</v>
      </c>
      <c r="H25" s="11" t="n">
        <f aca="false">IF(G25="",0,(2-G25)*F25)</f>
        <v>6</v>
      </c>
      <c r="I25" s="11" t="str">
        <f aca="false">IF(H25&gt;=4,"High",IF(H25&gt;=2,"Medium",IF(H25&gt;=1,"Low","None")))</f>
        <v>High</v>
      </c>
      <c r="J25" s="11" t="s">
        <v>151</v>
      </c>
      <c r="K25" s="11" t="s">
        <v>152</v>
      </c>
    </row>
    <row r="26" customFormat="false" ht="26.85" hidden="false" customHeight="false" outlineLevel="0" collapsed="false">
      <c r="A26" s="11" t="s">
        <v>153</v>
      </c>
      <c r="B26" s="11" t="s">
        <v>140</v>
      </c>
      <c r="C26" s="11" t="s">
        <v>141</v>
      </c>
      <c r="D26" s="11" t="s">
        <v>154</v>
      </c>
      <c r="E26" s="12" t="s">
        <v>60</v>
      </c>
      <c r="F26" s="12" t="n">
        <v>2</v>
      </c>
      <c r="G26" s="11" t="n">
        <f aca="false">IF(E26="Yes",2,IF(E26="Partial",1,IF(E26="No",0,"")))</f>
        <v>0</v>
      </c>
      <c r="H26" s="11" t="n">
        <f aca="false">IF(G26="",0,(2-G26)*F26)</f>
        <v>4</v>
      </c>
      <c r="I26" s="11" t="str">
        <f aca="false">IF(H26&gt;=4,"High",IF(H26&gt;=2,"Medium",IF(H26&gt;=1,"Low","None")))</f>
        <v>High</v>
      </c>
      <c r="J26" s="11" t="s">
        <v>155</v>
      </c>
      <c r="K26" s="11" t="s">
        <v>156</v>
      </c>
    </row>
    <row r="27" customFormat="false" ht="39.55" hidden="false" customHeight="false" outlineLevel="0" collapsed="false">
      <c r="A27" s="11" t="s">
        <v>157</v>
      </c>
      <c r="B27" s="11" t="s">
        <v>158</v>
      </c>
      <c r="C27" s="11" t="s">
        <v>159</v>
      </c>
      <c r="D27" s="11" t="s">
        <v>160</v>
      </c>
      <c r="E27" s="12" t="s">
        <v>69</v>
      </c>
      <c r="F27" s="12" t="n">
        <v>3</v>
      </c>
      <c r="G27" s="11" t="n">
        <f aca="false">IF(E27="Yes",2,IF(E27="Partial",1,IF(E27="No",0,"")))</f>
        <v>1</v>
      </c>
      <c r="H27" s="11" t="n">
        <f aca="false">IF(G27="",0,(2-G27)*F27)</f>
        <v>3</v>
      </c>
      <c r="I27" s="11" t="str">
        <f aca="false">IF(H27&gt;=4,"High",IF(H27&gt;=2,"Medium",IF(H27&gt;=1,"Low","None")))</f>
        <v>Medium</v>
      </c>
      <c r="J27" s="11" t="s">
        <v>161</v>
      </c>
      <c r="K27" s="11" t="s">
        <v>162</v>
      </c>
    </row>
    <row r="28" customFormat="false" ht="39.55" hidden="false" customHeight="false" outlineLevel="0" collapsed="false">
      <c r="A28" s="11" t="s">
        <v>163</v>
      </c>
      <c r="B28" s="11" t="s">
        <v>158</v>
      </c>
      <c r="C28" s="11" t="s">
        <v>159</v>
      </c>
      <c r="D28" s="11" t="s">
        <v>164</v>
      </c>
      <c r="E28" s="12" t="s">
        <v>69</v>
      </c>
      <c r="F28" s="12" t="n">
        <v>2</v>
      </c>
      <c r="G28" s="11" t="n">
        <f aca="false">IF(E28="Yes",2,IF(E28="Partial",1,IF(E28="No",0,"")))</f>
        <v>1</v>
      </c>
      <c r="H28" s="11" t="n">
        <f aca="false">IF(G28="",0,(2-G28)*F28)</f>
        <v>2</v>
      </c>
      <c r="I28" s="11" t="str">
        <f aca="false">IF(H28&gt;=4,"High",IF(H28&gt;=2,"Medium",IF(H28&gt;=1,"Low","None")))</f>
        <v>Medium</v>
      </c>
      <c r="J28" s="11" t="s">
        <v>165</v>
      </c>
      <c r="K28" s="11" t="s">
        <v>166</v>
      </c>
    </row>
    <row r="29" customFormat="false" ht="39.55" hidden="false" customHeight="false" outlineLevel="0" collapsed="false">
      <c r="A29" s="11" t="s">
        <v>167</v>
      </c>
      <c r="B29" s="11" t="s">
        <v>158</v>
      </c>
      <c r="C29" s="11" t="s">
        <v>159</v>
      </c>
      <c r="D29" s="11" t="s">
        <v>168</v>
      </c>
      <c r="E29" s="12" t="s">
        <v>60</v>
      </c>
      <c r="F29" s="12" t="n">
        <v>3</v>
      </c>
      <c r="G29" s="11" t="n">
        <f aca="false">IF(E29="Yes",2,IF(E29="Partial",1,IF(E29="No",0,"")))</f>
        <v>0</v>
      </c>
      <c r="H29" s="11" t="n">
        <f aca="false">IF(G29="",0,(2-G29)*F29)</f>
        <v>6</v>
      </c>
      <c r="I29" s="11" t="str">
        <f aca="false">IF(H29&gt;=4,"High",IF(H29&gt;=2,"Medium",IF(H29&gt;=1,"Low","None")))</f>
        <v>High</v>
      </c>
      <c r="J29" s="11" t="s">
        <v>169</v>
      </c>
      <c r="K29" s="11" t="s">
        <v>170</v>
      </c>
    </row>
    <row r="30" customFormat="false" ht="39.55" hidden="false" customHeight="false" outlineLevel="0" collapsed="false">
      <c r="A30" s="11" t="s">
        <v>171</v>
      </c>
      <c r="B30" s="11" t="s">
        <v>158</v>
      </c>
      <c r="C30" s="11" t="s">
        <v>159</v>
      </c>
      <c r="D30" s="11" t="s">
        <v>172</v>
      </c>
      <c r="E30" s="12" t="s">
        <v>60</v>
      </c>
      <c r="F30" s="12" t="n">
        <v>1</v>
      </c>
      <c r="G30" s="11" t="n">
        <f aca="false">IF(E30="Yes",2,IF(E30="Partial",1,IF(E30="No",0,"")))</f>
        <v>0</v>
      </c>
      <c r="H30" s="11" t="n">
        <f aca="false">IF(G30="",0,(2-G30)*F30)</f>
        <v>2</v>
      </c>
      <c r="I30" s="11" t="str">
        <f aca="false">IF(H30&gt;=4,"High",IF(H30&gt;=2,"Medium",IF(H30&gt;=1,"Low","None")))</f>
        <v>Medium</v>
      </c>
      <c r="J30" s="11" t="s">
        <v>173</v>
      </c>
      <c r="K30" s="11" t="s">
        <v>174</v>
      </c>
    </row>
    <row r="31" customFormat="false" ht="26.85" hidden="false" customHeight="false" outlineLevel="0" collapsed="false">
      <c r="A31" s="11" t="s">
        <v>175</v>
      </c>
      <c r="B31" s="11" t="s">
        <v>176</v>
      </c>
      <c r="C31" s="11" t="s">
        <v>177</v>
      </c>
      <c r="D31" s="11" t="s">
        <v>178</v>
      </c>
      <c r="E31" s="12" t="s">
        <v>60</v>
      </c>
      <c r="F31" s="12" t="n">
        <v>2</v>
      </c>
      <c r="G31" s="11" t="n">
        <f aca="false">IF(E31="Yes",2,IF(E31="Partial",1,IF(E31="No",0,"")))</f>
        <v>0</v>
      </c>
      <c r="H31" s="11" t="n">
        <f aca="false">IF(G31="",0,(2-G31)*F31)</f>
        <v>4</v>
      </c>
      <c r="I31" s="11" t="str">
        <f aca="false">IF(H31&gt;=4,"High",IF(H31&gt;=2,"Medium",IF(H31&gt;=1,"Low","None")))</f>
        <v>High</v>
      </c>
      <c r="J31" s="11" t="s">
        <v>155</v>
      </c>
      <c r="K31" s="11" t="s">
        <v>179</v>
      </c>
    </row>
    <row r="32" customFormat="false" ht="26.85" hidden="false" customHeight="false" outlineLevel="0" collapsed="false">
      <c r="A32" s="11" t="s">
        <v>180</v>
      </c>
      <c r="B32" s="11" t="s">
        <v>176</v>
      </c>
      <c r="C32" s="11" t="s">
        <v>177</v>
      </c>
      <c r="D32" s="11" t="s">
        <v>181</v>
      </c>
      <c r="E32" s="12" t="s">
        <v>60</v>
      </c>
      <c r="F32" s="12" t="n">
        <v>2</v>
      </c>
      <c r="G32" s="11" t="n">
        <f aca="false">IF(E32="Yes",2,IF(E32="Partial",1,IF(E32="No",0,"")))</f>
        <v>0</v>
      </c>
      <c r="H32" s="11" t="n">
        <f aca="false">IF(G32="",0,(2-G32)*F32)</f>
        <v>4</v>
      </c>
      <c r="I32" s="11" t="str">
        <f aca="false">IF(H32&gt;=4,"High",IF(H32&gt;=2,"Medium",IF(H32&gt;=1,"Low","None")))</f>
        <v>High</v>
      </c>
      <c r="J32" s="11" t="s">
        <v>85</v>
      </c>
      <c r="K32" s="11" t="s">
        <v>182</v>
      </c>
    </row>
    <row r="33" customFormat="false" ht="26.85" hidden="false" customHeight="false" outlineLevel="0" collapsed="false">
      <c r="A33" s="11" t="s">
        <v>183</v>
      </c>
      <c r="B33" s="11" t="s">
        <v>176</v>
      </c>
      <c r="C33" s="11" t="s">
        <v>177</v>
      </c>
      <c r="D33" s="11" t="s">
        <v>184</v>
      </c>
      <c r="E33" s="12" t="s">
        <v>60</v>
      </c>
      <c r="F33" s="12" t="n">
        <v>1</v>
      </c>
      <c r="G33" s="11" t="n">
        <f aca="false">IF(E33="Yes",2,IF(E33="Partial",1,IF(E33="No",0,"")))</f>
        <v>0</v>
      </c>
      <c r="H33" s="11" t="n">
        <f aca="false">IF(G33="",0,(2-G33)*F33)</f>
        <v>2</v>
      </c>
      <c r="I33" s="11" t="str">
        <f aca="false">IF(H33&gt;=4,"High",IF(H33&gt;=2,"Medium",IF(H33&gt;=1,"Low","None")))</f>
        <v>Medium</v>
      </c>
      <c r="J33" s="11" t="s">
        <v>185</v>
      </c>
      <c r="K33" s="11" t="s">
        <v>186</v>
      </c>
    </row>
    <row r="34" customFormat="false" ht="26.85" hidden="false" customHeight="false" outlineLevel="0" collapsed="false">
      <c r="A34" s="11" t="s">
        <v>187</v>
      </c>
      <c r="B34" s="11" t="s">
        <v>188</v>
      </c>
      <c r="C34" s="11" t="s">
        <v>189</v>
      </c>
      <c r="D34" s="11" t="s">
        <v>190</v>
      </c>
      <c r="E34" s="12" t="s">
        <v>60</v>
      </c>
      <c r="F34" s="12" t="n">
        <v>3</v>
      </c>
      <c r="G34" s="11" t="n">
        <f aca="false">IF(E34="Yes",2,IF(E34="Partial",1,IF(E34="No",0,"")))</f>
        <v>0</v>
      </c>
      <c r="H34" s="11" t="n">
        <f aca="false">IF(G34="",0,(2-G34)*F34)</f>
        <v>6</v>
      </c>
      <c r="I34" s="11" t="str">
        <f aca="false">IF(H34&gt;=4,"High",IF(H34&gt;=2,"Medium",IF(H34&gt;=1,"Low","None")))</f>
        <v>High</v>
      </c>
      <c r="J34" s="11" t="s">
        <v>191</v>
      </c>
      <c r="K34" s="11" t="s">
        <v>192</v>
      </c>
    </row>
    <row r="35" customFormat="false" ht="26.85" hidden="false" customHeight="false" outlineLevel="0" collapsed="false">
      <c r="A35" s="11" t="s">
        <v>193</v>
      </c>
      <c r="B35" s="11" t="s">
        <v>188</v>
      </c>
      <c r="C35" s="11" t="s">
        <v>189</v>
      </c>
      <c r="D35" s="11" t="s">
        <v>194</v>
      </c>
      <c r="E35" s="12" t="s">
        <v>60</v>
      </c>
      <c r="F35" s="12" t="n">
        <v>3</v>
      </c>
      <c r="G35" s="11" t="n">
        <f aca="false">IF(E35="Yes",2,IF(E35="Partial",1,IF(E35="No",0,"")))</f>
        <v>0</v>
      </c>
      <c r="H35" s="11" t="n">
        <f aca="false">IF(G35="",0,(2-G35)*F35)</f>
        <v>6</v>
      </c>
      <c r="I35" s="11" t="str">
        <f aca="false">IF(H35&gt;=4,"High",IF(H35&gt;=2,"Medium",IF(H35&gt;=1,"Low","None")))</f>
        <v>High</v>
      </c>
      <c r="J35" s="11" t="s">
        <v>195</v>
      </c>
      <c r="K35" s="11" t="s">
        <v>196</v>
      </c>
    </row>
    <row r="36" customFormat="false" ht="15" hidden="false" customHeight="false" outlineLevel="0" collapsed="false">
      <c r="A36" s="11" t="s">
        <v>197</v>
      </c>
      <c r="B36" s="11" t="s">
        <v>188</v>
      </c>
      <c r="C36" s="11" t="s">
        <v>189</v>
      </c>
      <c r="D36" s="11" t="s">
        <v>198</v>
      </c>
      <c r="E36" s="12" t="s">
        <v>74</v>
      </c>
      <c r="F36" s="12" t="n">
        <v>2</v>
      </c>
      <c r="G36" s="11" t="n">
        <f aca="false">IF(E36="Yes",2,IF(E36="Partial",1,IF(E36="No",0,"")))</f>
        <v>2</v>
      </c>
      <c r="H36" s="11" t="n">
        <f aca="false">IF(G36="",0,(2-G36)*F36)</f>
        <v>0</v>
      </c>
      <c r="I36" s="11" t="str">
        <f aca="false">IF(H36&gt;=4,"High",IF(H36&gt;=2,"Medium",IF(H36&gt;=1,"Low","None")))</f>
        <v>None</v>
      </c>
      <c r="J36" s="11" t="s">
        <v>199</v>
      </c>
      <c r="K36" s="11" t="s">
        <v>122</v>
      </c>
    </row>
    <row r="37" customFormat="false" ht="26.85" hidden="false" customHeight="false" outlineLevel="0" collapsed="false">
      <c r="A37" s="11" t="s">
        <v>200</v>
      </c>
      <c r="B37" s="11" t="s">
        <v>188</v>
      </c>
      <c r="C37" s="11" t="s">
        <v>189</v>
      </c>
      <c r="D37" s="11" t="s">
        <v>201</v>
      </c>
      <c r="E37" s="12" t="s">
        <v>69</v>
      </c>
      <c r="F37" s="12" t="n">
        <v>2</v>
      </c>
      <c r="G37" s="11" t="n">
        <f aca="false">IF(E37="Yes",2,IF(E37="Partial",1,IF(E37="No",0,"")))</f>
        <v>1</v>
      </c>
      <c r="H37" s="11" t="n">
        <f aca="false">IF(G37="",0,(2-G37)*F37)</f>
        <v>2</v>
      </c>
      <c r="I37" s="11" t="str">
        <f aca="false">IF(H37&gt;=4,"High",IF(H37&gt;=2,"Medium",IF(H37&gt;=1,"Low","None")))</f>
        <v>Medium</v>
      </c>
      <c r="J37" s="11" t="s">
        <v>202</v>
      </c>
      <c r="K37" s="11" t="s">
        <v>203</v>
      </c>
    </row>
    <row r="38" customFormat="false" ht="26.85" hidden="false" customHeight="false" outlineLevel="0" collapsed="false">
      <c r="A38" s="11" t="s">
        <v>204</v>
      </c>
      <c r="B38" s="11" t="s">
        <v>205</v>
      </c>
      <c r="C38" s="11" t="s">
        <v>206</v>
      </c>
      <c r="D38" s="11" t="s">
        <v>207</v>
      </c>
      <c r="E38" s="12" t="s">
        <v>69</v>
      </c>
      <c r="F38" s="12" t="n">
        <v>2</v>
      </c>
      <c r="G38" s="11" t="n">
        <f aca="false">IF(E38="Yes",2,IF(E38="Partial",1,IF(E38="No",0,"")))</f>
        <v>1</v>
      </c>
      <c r="H38" s="11" t="n">
        <f aca="false">IF(G38="",0,(2-G38)*F38)</f>
        <v>2</v>
      </c>
      <c r="I38" s="11" t="str">
        <f aca="false">IF(H38&gt;=4,"High",IF(H38&gt;=2,"Medium",IF(H38&gt;=1,"Low","None")))</f>
        <v>Medium</v>
      </c>
      <c r="J38" s="11" t="s">
        <v>208</v>
      </c>
      <c r="K38" s="11" t="s">
        <v>209</v>
      </c>
    </row>
    <row r="39" customFormat="false" ht="26.85" hidden="false" customHeight="false" outlineLevel="0" collapsed="false">
      <c r="A39" s="11" t="s">
        <v>210</v>
      </c>
      <c r="B39" s="11" t="s">
        <v>205</v>
      </c>
      <c r="C39" s="11" t="s">
        <v>206</v>
      </c>
      <c r="D39" s="11" t="s">
        <v>211</v>
      </c>
      <c r="E39" s="12" t="s">
        <v>74</v>
      </c>
      <c r="F39" s="12" t="n">
        <v>2</v>
      </c>
      <c r="G39" s="11" t="n">
        <f aca="false">IF(E39="Yes",2,IF(E39="Partial",1,IF(E39="No",0,"")))</f>
        <v>2</v>
      </c>
      <c r="H39" s="11" t="n">
        <f aca="false">IF(G39="",0,(2-G39)*F39)</f>
        <v>0</v>
      </c>
      <c r="I39" s="11" t="str">
        <f aca="false">IF(H39&gt;=4,"High",IF(H39&gt;=2,"Medium",IF(H39&gt;=1,"Low","None")))</f>
        <v>None</v>
      </c>
      <c r="J39" s="11" t="s">
        <v>212</v>
      </c>
      <c r="K39" s="11" t="s">
        <v>122</v>
      </c>
    </row>
    <row r="40" customFormat="false" ht="26.85" hidden="false" customHeight="false" outlineLevel="0" collapsed="false">
      <c r="A40" s="11" t="s">
        <v>213</v>
      </c>
      <c r="B40" s="11" t="s">
        <v>205</v>
      </c>
      <c r="C40" s="11" t="s">
        <v>206</v>
      </c>
      <c r="D40" s="11" t="s">
        <v>214</v>
      </c>
      <c r="E40" s="12" t="s">
        <v>74</v>
      </c>
      <c r="F40" s="12" t="n">
        <v>2</v>
      </c>
      <c r="G40" s="11" t="n">
        <f aca="false">IF(E40="Yes",2,IF(E40="Partial",1,IF(E40="No",0,"")))</f>
        <v>2</v>
      </c>
      <c r="H40" s="11" t="n">
        <f aca="false">IF(G40="",0,(2-G40)*F40)</f>
        <v>0</v>
      </c>
      <c r="I40" s="11" t="str">
        <f aca="false">IF(H40&gt;=4,"High",IF(H40&gt;=2,"Medium",IF(H40&gt;=1,"Low","None")))</f>
        <v>None</v>
      </c>
      <c r="J40" s="11" t="s">
        <v>215</v>
      </c>
      <c r="K40" s="11" t="s">
        <v>122</v>
      </c>
    </row>
    <row r="41" customFormat="false" ht="26.85" hidden="false" customHeight="false" outlineLevel="0" collapsed="false">
      <c r="A41" s="11" t="s">
        <v>216</v>
      </c>
      <c r="B41" s="11" t="s">
        <v>205</v>
      </c>
      <c r="C41" s="11" t="s">
        <v>206</v>
      </c>
      <c r="D41" s="11" t="s">
        <v>217</v>
      </c>
      <c r="E41" s="12" t="s">
        <v>60</v>
      </c>
      <c r="F41" s="12" t="n">
        <v>2</v>
      </c>
      <c r="G41" s="11" t="n">
        <f aca="false">IF(E41="Yes",2,IF(E41="Partial",1,IF(E41="No",0,"")))</f>
        <v>0</v>
      </c>
      <c r="H41" s="11" t="n">
        <f aca="false">IF(G41="",0,(2-G41)*F41)</f>
        <v>4</v>
      </c>
      <c r="I41" s="11" t="str">
        <f aca="false">IF(H41&gt;=4,"High",IF(H41&gt;=2,"Medium",IF(H41&gt;=1,"Low","None")))</f>
        <v>High</v>
      </c>
      <c r="J41" s="11" t="s">
        <v>218</v>
      </c>
      <c r="K41" s="11" t="s">
        <v>219</v>
      </c>
    </row>
    <row r="42" customFormat="false" ht="26.85" hidden="false" customHeight="false" outlineLevel="0" collapsed="false">
      <c r="A42" s="11" t="s">
        <v>220</v>
      </c>
      <c r="B42" s="11" t="s">
        <v>221</v>
      </c>
      <c r="C42" s="11" t="s">
        <v>222</v>
      </c>
      <c r="D42" s="11" t="s">
        <v>223</v>
      </c>
      <c r="E42" s="12" t="s">
        <v>69</v>
      </c>
      <c r="F42" s="12" t="n">
        <v>3</v>
      </c>
      <c r="G42" s="11" t="n">
        <f aca="false">IF(E42="Yes",2,IF(E42="Partial",1,IF(E42="No",0,"")))</f>
        <v>1</v>
      </c>
      <c r="H42" s="11" t="n">
        <f aca="false">IF(G42="",0,(2-G42)*F42)</f>
        <v>3</v>
      </c>
      <c r="I42" s="11" t="str">
        <f aca="false">IF(H42&gt;=4,"High",IF(H42&gt;=2,"Medium",IF(H42&gt;=1,"Low","None")))</f>
        <v>Medium</v>
      </c>
      <c r="J42" s="11" t="s">
        <v>224</v>
      </c>
      <c r="K42" s="11" t="s">
        <v>225</v>
      </c>
    </row>
    <row r="43" customFormat="false" ht="26.85" hidden="false" customHeight="false" outlineLevel="0" collapsed="false">
      <c r="A43" s="11" t="s">
        <v>226</v>
      </c>
      <c r="B43" s="11" t="s">
        <v>221</v>
      </c>
      <c r="C43" s="11" t="s">
        <v>222</v>
      </c>
      <c r="D43" s="11" t="s">
        <v>227</v>
      </c>
      <c r="E43" s="12" t="s">
        <v>60</v>
      </c>
      <c r="F43" s="12" t="n">
        <v>2</v>
      </c>
      <c r="G43" s="11" t="n">
        <f aca="false">IF(E43="Yes",2,IF(E43="Partial",1,IF(E43="No",0,"")))</f>
        <v>0</v>
      </c>
      <c r="H43" s="11" t="n">
        <f aca="false">IF(G43="",0,(2-G43)*F43)</f>
        <v>4</v>
      </c>
      <c r="I43" s="11" t="str">
        <f aca="false">IF(H43&gt;=4,"High",IF(H43&gt;=2,"Medium",IF(H43&gt;=1,"Low","None")))</f>
        <v>High</v>
      </c>
      <c r="J43" s="11" t="s">
        <v>228</v>
      </c>
      <c r="K43" s="11" t="s">
        <v>229</v>
      </c>
    </row>
    <row r="44" customFormat="false" ht="26.85" hidden="false" customHeight="false" outlineLevel="0" collapsed="false">
      <c r="A44" s="11" t="s">
        <v>230</v>
      </c>
      <c r="B44" s="11" t="s">
        <v>221</v>
      </c>
      <c r="C44" s="11" t="s">
        <v>222</v>
      </c>
      <c r="D44" s="11" t="s">
        <v>231</v>
      </c>
      <c r="E44" s="12" t="s">
        <v>69</v>
      </c>
      <c r="F44" s="12" t="n">
        <v>2</v>
      </c>
      <c r="G44" s="11" t="n">
        <f aca="false">IF(E44="Yes",2,IF(E44="Partial",1,IF(E44="No",0,"")))</f>
        <v>1</v>
      </c>
      <c r="H44" s="11" t="n">
        <f aca="false">IF(G44="",0,(2-G44)*F44)</f>
        <v>2</v>
      </c>
      <c r="I44" s="11" t="str">
        <f aca="false">IF(H44&gt;=4,"High",IF(H44&gt;=2,"Medium",IF(H44&gt;=1,"Low","None")))</f>
        <v>Medium</v>
      </c>
      <c r="J44" s="11" t="s">
        <v>232</v>
      </c>
      <c r="K44" s="11" t="s">
        <v>233</v>
      </c>
    </row>
    <row r="45" customFormat="false" ht="26.85" hidden="false" customHeight="false" outlineLevel="0" collapsed="false">
      <c r="A45" s="11" t="s">
        <v>234</v>
      </c>
      <c r="B45" s="11" t="s">
        <v>221</v>
      </c>
      <c r="C45" s="11" t="s">
        <v>222</v>
      </c>
      <c r="D45" s="11" t="s">
        <v>235</v>
      </c>
      <c r="E45" s="12" t="s">
        <v>60</v>
      </c>
      <c r="F45" s="12" t="n">
        <v>2</v>
      </c>
      <c r="G45" s="11" t="n">
        <f aca="false">IF(E45="Yes",2,IF(E45="Partial",1,IF(E45="No",0,"")))</f>
        <v>0</v>
      </c>
      <c r="H45" s="11" t="n">
        <f aca="false">IF(G45="",0,(2-G45)*F45)</f>
        <v>4</v>
      </c>
      <c r="I45" s="11" t="str">
        <f aca="false">IF(H45&gt;=4,"High",IF(H45&gt;=2,"Medium",IF(H45&gt;=1,"Low","None")))</f>
        <v>High</v>
      </c>
      <c r="J45" s="11" t="s">
        <v>236</v>
      </c>
      <c r="K45" s="11" t="s">
        <v>237</v>
      </c>
    </row>
    <row r="46" customFormat="false" ht="26.85" hidden="false" customHeight="false" outlineLevel="0" collapsed="false">
      <c r="A46" s="11" t="s">
        <v>238</v>
      </c>
      <c r="B46" s="11" t="s">
        <v>221</v>
      </c>
      <c r="C46" s="11" t="s">
        <v>222</v>
      </c>
      <c r="D46" s="11" t="s">
        <v>239</v>
      </c>
      <c r="E46" s="12" t="s">
        <v>60</v>
      </c>
      <c r="F46" s="12" t="n">
        <v>1</v>
      </c>
      <c r="G46" s="11" t="n">
        <f aca="false">IF(E46="Yes",2,IF(E46="Partial",1,IF(E46="No",0,"")))</f>
        <v>0</v>
      </c>
      <c r="H46" s="11" t="n">
        <f aca="false">IF(G46="",0,(2-G46)*F46)</f>
        <v>2</v>
      </c>
      <c r="I46" s="11" t="str">
        <f aca="false">IF(H46&gt;=4,"High",IF(H46&gt;=2,"Medium",IF(H46&gt;=1,"Low","None")))</f>
        <v>Medium</v>
      </c>
      <c r="J46" s="11" t="s">
        <v>240</v>
      </c>
      <c r="K46" s="11" t="s">
        <v>241</v>
      </c>
    </row>
    <row r="47" customFormat="false" ht="26.85" hidden="false" customHeight="false" outlineLevel="0" collapsed="false">
      <c r="A47" s="11" t="s">
        <v>242</v>
      </c>
      <c r="B47" s="11" t="s">
        <v>243</v>
      </c>
      <c r="C47" s="11" t="s">
        <v>244</v>
      </c>
      <c r="D47" s="11" t="s">
        <v>245</v>
      </c>
      <c r="E47" s="12" t="s">
        <v>60</v>
      </c>
      <c r="F47" s="12" t="n">
        <v>3</v>
      </c>
      <c r="G47" s="11" t="n">
        <f aca="false">IF(E47="Yes",2,IF(E47="Partial",1,IF(E47="No",0,"")))</f>
        <v>0</v>
      </c>
      <c r="H47" s="11" t="n">
        <f aca="false">IF(G47="",0,(2-G47)*F47)</f>
        <v>6</v>
      </c>
      <c r="I47" s="11" t="str">
        <f aca="false">IF(H47&gt;=4,"High",IF(H47&gt;=2,"Medium",IF(H47&gt;=1,"Low","None")))</f>
        <v>High</v>
      </c>
      <c r="J47" s="11" t="s">
        <v>246</v>
      </c>
      <c r="K47" s="11" t="s">
        <v>247</v>
      </c>
    </row>
    <row r="48" customFormat="false" ht="26.85" hidden="false" customHeight="false" outlineLevel="0" collapsed="false">
      <c r="A48" s="11" t="s">
        <v>248</v>
      </c>
      <c r="B48" s="11" t="s">
        <v>243</v>
      </c>
      <c r="C48" s="11" t="s">
        <v>244</v>
      </c>
      <c r="D48" s="11" t="s">
        <v>249</v>
      </c>
      <c r="E48" s="12" t="s">
        <v>60</v>
      </c>
      <c r="F48" s="12" t="n">
        <v>3</v>
      </c>
      <c r="G48" s="11" t="n">
        <f aca="false">IF(E48="Yes",2,IF(E48="Partial",1,IF(E48="No",0,"")))</f>
        <v>0</v>
      </c>
      <c r="H48" s="11" t="n">
        <f aca="false">IF(G48="",0,(2-G48)*F48)</f>
        <v>6</v>
      </c>
      <c r="I48" s="11" t="str">
        <f aca="false">IF(H48&gt;=4,"High",IF(H48&gt;=2,"Medium",IF(H48&gt;=1,"Low","None")))</f>
        <v>High</v>
      </c>
      <c r="J48" s="11" t="s">
        <v>250</v>
      </c>
      <c r="K48" s="11" t="s">
        <v>251</v>
      </c>
    </row>
    <row r="49" customFormat="false" ht="26.85" hidden="false" customHeight="false" outlineLevel="0" collapsed="false">
      <c r="A49" s="11" t="s">
        <v>252</v>
      </c>
      <c r="B49" s="11" t="s">
        <v>243</v>
      </c>
      <c r="C49" s="11" t="s">
        <v>244</v>
      </c>
      <c r="D49" s="11" t="s">
        <v>253</v>
      </c>
      <c r="E49" s="12" t="s">
        <v>69</v>
      </c>
      <c r="F49" s="12" t="n">
        <v>1</v>
      </c>
      <c r="G49" s="11" t="n">
        <f aca="false">IF(E49="Yes",2,IF(E49="Partial",1,IF(E49="No",0,"")))</f>
        <v>1</v>
      </c>
      <c r="H49" s="11" t="n">
        <f aca="false">IF(G49="",0,(2-G49)*F49)</f>
        <v>1</v>
      </c>
      <c r="I49" s="11" t="str">
        <f aca="false">IF(H49&gt;=4,"High",IF(H49&gt;=2,"Medium",IF(H49&gt;=1,"Low","None")))</f>
        <v>Low</v>
      </c>
      <c r="J49" s="11" t="s">
        <v>254</v>
      </c>
      <c r="K49" s="11" t="s">
        <v>255</v>
      </c>
    </row>
    <row r="50" customFormat="false" ht="26.85" hidden="false" customHeight="false" outlineLevel="0" collapsed="false">
      <c r="A50" s="11" t="s">
        <v>256</v>
      </c>
      <c r="B50" s="11" t="s">
        <v>243</v>
      </c>
      <c r="C50" s="11" t="s">
        <v>244</v>
      </c>
      <c r="D50" s="11" t="s">
        <v>257</v>
      </c>
      <c r="E50" s="12" t="s">
        <v>69</v>
      </c>
      <c r="F50" s="12" t="n">
        <v>2</v>
      </c>
      <c r="G50" s="11" t="n">
        <f aca="false">IF(E50="Yes",2,IF(E50="Partial",1,IF(E50="No",0,"")))</f>
        <v>1</v>
      </c>
      <c r="H50" s="11" t="n">
        <f aca="false">IF(G50="",0,(2-G50)*F50)</f>
        <v>2</v>
      </c>
      <c r="I50" s="11" t="str">
        <f aca="false">IF(H50&gt;=4,"High",IF(H50&gt;=2,"Medium",IF(H50&gt;=1,"Low","None")))</f>
        <v>Medium</v>
      </c>
      <c r="J50" s="11" t="s">
        <v>258</v>
      </c>
      <c r="K50" s="11" t="s">
        <v>259</v>
      </c>
    </row>
  </sheetData>
  <conditionalFormatting sqref="I5:I50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2">
    <dataValidation allowBlank="false" errorStyle="stop" operator="between" showDropDown="false" showErrorMessage="false" showInputMessage="false" sqref="E5:E50" type="list">
      <formula1>"Yes,Partial,No,N/A"</formula1>
      <formula2>0</formula2>
    </dataValidation>
    <dataValidation allowBlank="false" errorStyle="stop" operator="between" showDropDown="false" showErrorMessage="false" showInputMessage="false" sqref="F5:F50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9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8" t="s">
        <v>260</v>
      </c>
    </row>
    <row r="3" customFormat="false" ht="26.85" hidden="false" customHeight="false" outlineLevel="0" collapsed="false">
      <c r="A3" s="10" t="s">
        <v>46</v>
      </c>
      <c r="B3" s="10" t="s">
        <v>47</v>
      </c>
      <c r="C3" s="10" t="s">
        <v>261</v>
      </c>
      <c r="D3" s="10" t="s">
        <v>262</v>
      </c>
      <c r="E3" s="10" t="s">
        <v>263</v>
      </c>
      <c r="F3" s="10" t="s">
        <v>264</v>
      </c>
      <c r="G3" s="10" t="s">
        <v>265</v>
      </c>
      <c r="H3" s="10" t="s">
        <v>266</v>
      </c>
      <c r="I3" s="10" t="s">
        <v>267</v>
      </c>
    </row>
    <row r="4" customFormat="false" ht="15" hidden="false" customHeight="false" outlineLevel="0" collapsed="false">
      <c r="A4" s="13" t="s">
        <v>57</v>
      </c>
      <c r="B4" s="13" t="s">
        <v>58</v>
      </c>
      <c r="C4" s="13" t="s">
        <v>268</v>
      </c>
      <c r="D4" s="14" t="n">
        <f aca="false">COUNTIF(Questionnaire!$B$5:$B$50,A4)</f>
        <v>4</v>
      </c>
      <c r="E4" s="14" t="n">
        <f aca="false">SUMIF(Questionnaire!$B$5:$B$50,A4,Questionnaire!$G$5:$G$50)</f>
        <v>3</v>
      </c>
      <c r="F4" s="14" t="n">
        <f aca="false">2*(D4-COUNTIFS(Questionnaire!$B$5:$B$50,A4,Questionnaire!$E$5:$E$50,"N/A"))</f>
        <v>8</v>
      </c>
      <c r="G4" s="15" t="n">
        <f aca="false">IF(F4=0,0,E4/F4)</f>
        <v>0.375</v>
      </c>
      <c r="H4" s="13" t="str">
        <f aca="false">IF(G4&gt;=0.75,"Good",IF(G4&gt;=0.5,"Partial","Weak"))</f>
        <v>Weak</v>
      </c>
      <c r="I4" s="14" t="n">
        <f aca="false">COUNTIFS(Questionnaire!$B$5:$B$50,A4,Questionnaire!$I$5:$I$50,"High")</f>
        <v>2</v>
      </c>
    </row>
    <row r="5" customFormat="false" ht="15" hidden="false" customHeight="false" outlineLevel="0" collapsed="false">
      <c r="A5" s="13" t="s">
        <v>78</v>
      </c>
      <c r="B5" s="13" t="s">
        <v>79</v>
      </c>
      <c r="C5" s="13" t="s">
        <v>269</v>
      </c>
      <c r="D5" s="14" t="n">
        <f aca="false">COUNTIF(Questionnaire!$B$5:$B$50,A5)</f>
        <v>4</v>
      </c>
      <c r="E5" s="14" t="n">
        <f aca="false">SUMIF(Questionnaire!$B$5:$B$50,A5,Questionnaire!$G$5:$G$50)</f>
        <v>1</v>
      </c>
      <c r="F5" s="14" t="n">
        <f aca="false">2*(D5-COUNTIFS(Questionnaire!$B$5:$B$50,A5,Questionnaire!$E$5:$E$50,"N/A"))</f>
        <v>8</v>
      </c>
      <c r="G5" s="15" t="n">
        <f aca="false">IF(F5=0,0,E5/F5)</f>
        <v>0.125</v>
      </c>
      <c r="H5" s="13" t="str">
        <f aca="false">IF(G5&gt;=0.75,"Good",IF(G5&gt;=0.5,"Partial","Weak"))</f>
        <v>Weak</v>
      </c>
      <c r="I5" s="14" t="n">
        <f aca="false">COUNTIFS(Questionnaire!$B$5:$B$50,A5,Questionnaire!$I$5:$I$50,"High")</f>
        <v>2</v>
      </c>
    </row>
    <row r="6" customFormat="false" ht="15" hidden="false" customHeight="false" outlineLevel="0" collapsed="false">
      <c r="A6" s="13" t="s">
        <v>96</v>
      </c>
      <c r="B6" s="13" t="s">
        <v>97</v>
      </c>
      <c r="C6" s="13" t="s">
        <v>270</v>
      </c>
      <c r="D6" s="14" t="n">
        <f aca="false">COUNTIF(Questionnaire!$B$5:$B$50,A6)</f>
        <v>5</v>
      </c>
      <c r="E6" s="14" t="n">
        <f aca="false">SUMIF(Questionnaire!$B$5:$B$50,A6,Questionnaire!$G$5:$G$50)</f>
        <v>2</v>
      </c>
      <c r="F6" s="14" t="n">
        <f aca="false">2*(D6-COUNTIFS(Questionnaire!$B$5:$B$50,A6,Questionnaire!$E$5:$E$50,"N/A"))</f>
        <v>10</v>
      </c>
      <c r="G6" s="15" t="n">
        <f aca="false">IF(F6=0,0,E6/F6)</f>
        <v>0.2</v>
      </c>
      <c r="H6" s="13" t="str">
        <f aca="false">IF(G6&gt;=0.75,"Good",IF(G6&gt;=0.5,"Partial","Weak"))</f>
        <v>Weak</v>
      </c>
      <c r="I6" s="14" t="n">
        <f aca="false">COUNTIFS(Questionnaire!$B$5:$B$50,A6,Questionnaire!$I$5:$I$50,"High")</f>
        <v>2</v>
      </c>
    </row>
    <row r="7" customFormat="false" ht="15" hidden="false" customHeight="false" outlineLevel="0" collapsed="false">
      <c r="A7" s="13" t="s">
        <v>118</v>
      </c>
      <c r="B7" s="13" t="s">
        <v>119</v>
      </c>
      <c r="C7" s="13" t="s">
        <v>271</v>
      </c>
      <c r="D7" s="14" t="n">
        <f aca="false">COUNTIF(Questionnaire!$B$5:$B$50,A7)</f>
        <v>5</v>
      </c>
      <c r="E7" s="14" t="n">
        <f aca="false">SUMIF(Questionnaire!$B$5:$B$50,A7,Questionnaire!$G$5:$G$50)</f>
        <v>3</v>
      </c>
      <c r="F7" s="14" t="n">
        <f aca="false">2*(D7-COUNTIFS(Questionnaire!$B$5:$B$50,A7,Questionnaire!$E$5:$E$50,"N/A"))</f>
        <v>10</v>
      </c>
      <c r="G7" s="15" t="n">
        <f aca="false">IF(F7=0,0,E7/F7)</f>
        <v>0.3</v>
      </c>
      <c r="H7" s="13" t="str">
        <f aca="false">IF(G7&gt;=0.75,"Good",IF(G7&gt;=0.5,"Partial","Weak"))</f>
        <v>Weak</v>
      </c>
      <c r="I7" s="14" t="n">
        <f aca="false">COUNTIFS(Questionnaire!$B$5:$B$50,A7,Questionnaire!$I$5:$I$50,"High")</f>
        <v>3</v>
      </c>
    </row>
    <row r="8" customFormat="false" ht="15" hidden="false" customHeight="false" outlineLevel="0" collapsed="false">
      <c r="A8" s="13" t="s">
        <v>140</v>
      </c>
      <c r="B8" s="13" t="s">
        <v>141</v>
      </c>
      <c r="C8" s="13" t="s">
        <v>272</v>
      </c>
      <c r="D8" s="14" t="n">
        <f aca="false">COUNTIF(Questionnaire!$B$5:$B$50,A8)</f>
        <v>4</v>
      </c>
      <c r="E8" s="14" t="n">
        <f aca="false">SUMIF(Questionnaire!$B$5:$B$50,A8,Questionnaire!$G$5:$G$50)</f>
        <v>1</v>
      </c>
      <c r="F8" s="14" t="n">
        <f aca="false">2*(D8-COUNTIFS(Questionnaire!$B$5:$B$50,A8,Questionnaire!$E$5:$E$50,"N/A"))</f>
        <v>8</v>
      </c>
      <c r="G8" s="15" t="n">
        <f aca="false">IF(F8=0,0,E8/F8)</f>
        <v>0.125</v>
      </c>
      <c r="H8" s="13" t="str">
        <f aca="false">IF(G8&gt;=0.75,"Good",IF(G8&gt;=0.5,"Partial","Weak"))</f>
        <v>Weak</v>
      </c>
      <c r="I8" s="14" t="n">
        <f aca="false">COUNTIFS(Questionnaire!$B$5:$B$50,A8,Questionnaire!$I$5:$I$50,"High")</f>
        <v>3</v>
      </c>
    </row>
    <row r="9" customFormat="false" ht="15" hidden="false" customHeight="false" outlineLevel="0" collapsed="false">
      <c r="A9" s="13" t="s">
        <v>158</v>
      </c>
      <c r="B9" s="13" t="s">
        <v>159</v>
      </c>
      <c r="C9" s="13" t="s">
        <v>273</v>
      </c>
      <c r="D9" s="14" t="n">
        <f aca="false">COUNTIF(Questionnaire!$B$5:$B$50,A9)</f>
        <v>4</v>
      </c>
      <c r="E9" s="14" t="n">
        <f aca="false">SUMIF(Questionnaire!$B$5:$B$50,A9,Questionnaire!$G$5:$G$50)</f>
        <v>2</v>
      </c>
      <c r="F9" s="14" t="n">
        <f aca="false">2*(D9-COUNTIFS(Questionnaire!$B$5:$B$50,A9,Questionnaire!$E$5:$E$50,"N/A"))</f>
        <v>8</v>
      </c>
      <c r="G9" s="15" t="n">
        <f aca="false">IF(F9=0,0,E9/F9)</f>
        <v>0.25</v>
      </c>
      <c r="H9" s="13" t="str">
        <f aca="false">IF(G9&gt;=0.75,"Good",IF(G9&gt;=0.5,"Partial","Weak"))</f>
        <v>Weak</v>
      </c>
      <c r="I9" s="14" t="n">
        <f aca="false">COUNTIFS(Questionnaire!$B$5:$B$50,A9,Questionnaire!$I$5:$I$50,"High")</f>
        <v>1</v>
      </c>
    </row>
    <row r="10" customFormat="false" ht="15" hidden="false" customHeight="false" outlineLevel="0" collapsed="false">
      <c r="A10" s="13" t="s">
        <v>176</v>
      </c>
      <c r="B10" s="13" t="s">
        <v>177</v>
      </c>
      <c r="C10" s="13" t="s">
        <v>274</v>
      </c>
      <c r="D10" s="14" t="n">
        <f aca="false">COUNTIF(Questionnaire!$B$5:$B$50,A10)</f>
        <v>3</v>
      </c>
      <c r="E10" s="14" t="n">
        <f aca="false">SUMIF(Questionnaire!$B$5:$B$50,A10,Questionnaire!$G$5:$G$50)</f>
        <v>0</v>
      </c>
      <c r="F10" s="14" t="n">
        <f aca="false">2*(D10-COUNTIFS(Questionnaire!$B$5:$B$50,A10,Questionnaire!$E$5:$E$50,"N/A"))</f>
        <v>6</v>
      </c>
      <c r="G10" s="15" t="n">
        <f aca="false">IF(F10=0,0,E10/F10)</f>
        <v>0</v>
      </c>
      <c r="H10" s="13" t="str">
        <f aca="false">IF(G10&gt;=0.75,"Good",IF(G10&gt;=0.5,"Partial","Weak"))</f>
        <v>Weak</v>
      </c>
      <c r="I10" s="14" t="n">
        <f aca="false">COUNTIFS(Questionnaire!$B$5:$B$50,A10,Questionnaire!$I$5:$I$50,"High")</f>
        <v>2</v>
      </c>
    </row>
    <row r="11" customFormat="false" ht="15" hidden="false" customHeight="false" outlineLevel="0" collapsed="false">
      <c r="A11" s="13" t="s">
        <v>188</v>
      </c>
      <c r="B11" s="13" t="s">
        <v>189</v>
      </c>
      <c r="C11" s="13" t="s">
        <v>275</v>
      </c>
      <c r="D11" s="14" t="n">
        <f aca="false">COUNTIF(Questionnaire!$B$5:$B$50,A11)</f>
        <v>4</v>
      </c>
      <c r="E11" s="14" t="n">
        <f aca="false">SUMIF(Questionnaire!$B$5:$B$50,A11,Questionnaire!$G$5:$G$50)</f>
        <v>3</v>
      </c>
      <c r="F11" s="14" t="n">
        <f aca="false">2*(D11-COUNTIFS(Questionnaire!$B$5:$B$50,A11,Questionnaire!$E$5:$E$50,"N/A"))</f>
        <v>8</v>
      </c>
      <c r="G11" s="15" t="n">
        <f aca="false">IF(F11=0,0,E11/F11)</f>
        <v>0.375</v>
      </c>
      <c r="H11" s="13" t="str">
        <f aca="false">IF(G11&gt;=0.75,"Good",IF(G11&gt;=0.5,"Partial","Weak"))</f>
        <v>Weak</v>
      </c>
      <c r="I11" s="14" t="n">
        <f aca="false">COUNTIFS(Questionnaire!$B$5:$B$50,A11,Questionnaire!$I$5:$I$50,"High")</f>
        <v>2</v>
      </c>
    </row>
    <row r="12" customFormat="false" ht="15" hidden="false" customHeight="false" outlineLevel="0" collapsed="false">
      <c r="A12" s="13" t="s">
        <v>205</v>
      </c>
      <c r="B12" s="13" t="s">
        <v>206</v>
      </c>
      <c r="C12" s="13" t="s">
        <v>276</v>
      </c>
      <c r="D12" s="14" t="n">
        <f aca="false">COUNTIF(Questionnaire!$B$5:$B$50,A12)</f>
        <v>4</v>
      </c>
      <c r="E12" s="14" t="n">
        <f aca="false">SUMIF(Questionnaire!$B$5:$B$50,A12,Questionnaire!$G$5:$G$50)</f>
        <v>5</v>
      </c>
      <c r="F12" s="14" t="n">
        <f aca="false">2*(D12-COUNTIFS(Questionnaire!$B$5:$B$50,A12,Questionnaire!$E$5:$E$50,"N/A"))</f>
        <v>8</v>
      </c>
      <c r="G12" s="15" t="n">
        <f aca="false">IF(F12=0,0,E12/F12)</f>
        <v>0.625</v>
      </c>
      <c r="H12" s="13" t="str">
        <f aca="false">IF(G12&gt;=0.75,"Good",IF(G12&gt;=0.5,"Partial","Weak"))</f>
        <v>Partial</v>
      </c>
      <c r="I12" s="14" t="n">
        <f aca="false">COUNTIFS(Questionnaire!$B$5:$B$50,A12,Questionnaire!$I$5:$I$50,"High")</f>
        <v>1</v>
      </c>
    </row>
    <row r="13" customFormat="false" ht="15" hidden="false" customHeight="false" outlineLevel="0" collapsed="false">
      <c r="A13" s="13" t="s">
        <v>221</v>
      </c>
      <c r="B13" s="13" t="s">
        <v>222</v>
      </c>
      <c r="C13" s="13" t="s">
        <v>277</v>
      </c>
      <c r="D13" s="14" t="n">
        <f aca="false">COUNTIF(Questionnaire!$B$5:$B$50,A13)</f>
        <v>5</v>
      </c>
      <c r="E13" s="14" t="n">
        <f aca="false">SUMIF(Questionnaire!$B$5:$B$50,A13,Questionnaire!$G$5:$G$50)</f>
        <v>2</v>
      </c>
      <c r="F13" s="14" t="n">
        <f aca="false">2*(D13-COUNTIFS(Questionnaire!$B$5:$B$50,A13,Questionnaire!$E$5:$E$50,"N/A"))</f>
        <v>10</v>
      </c>
      <c r="G13" s="15" t="n">
        <f aca="false">IF(F13=0,0,E13/F13)</f>
        <v>0.2</v>
      </c>
      <c r="H13" s="13" t="str">
        <f aca="false">IF(G13&gt;=0.75,"Good",IF(G13&gt;=0.5,"Partial","Weak"))</f>
        <v>Weak</v>
      </c>
      <c r="I13" s="14" t="n">
        <f aca="false">COUNTIFS(Questionnaire!$B$5:$B$50,A13,Questionnaire!$I$5:$I$50,"High")</f>
        <v>2</v>
      </c>
    </row>
    <row r="14" customFormat="false" ht="15" hidden="false" customHeight="false" outlineLevel="0" collapsed="false">
      <c r="A14" s="13" t="s">
        <v>243</v>
      </c>
      <c r="B14" s="13" t="s">
        <v>244</v>
      </c>
      <c r="C14" s="13" t="s">
        <v>278</v>
      </c>
      <c r="D14" s="14" t="n">
        <f aca="false">COUNTIF(Questionnaire!$B$5:$B$50,A14)</f>
        <v>4</v>
      </c>
      <c r="E14" s="14" t="n">
        <f aca="false">SUMIF(Questionnaire!$B$5:$B$50,A14,Questionnaire!$G$5:$G$50)</f>
        <v>2</v>
      </c>
      <c r="F14" s="14" t="n">
        <f aca="false">2*(D14-COUNTIFS(Questionnaire!$B$5:$B$50,A14,Questionnaire!$E$5:$E$50,"N/A"))</f>
        <v>8</v>
      </c>
      <c r="G14" s="15" t="n">
        <f aca="false">IF(F14=0,0,E14/F14)</f>
        <v>0.25</v>
      </c>
      <c r="H14" s="13" t="str">
        <f aca="false">IF(G14&gt;=0.75,"Good",IF(G14&gt;=0.5,"Partial","Weak"))</f>
        <v>Weak</v>
      </c>
      <c r="I14" s="14" t="n">
        <f aca="false">COUNTIFS(Questionnaire!$B$5:$B$50,A14,Questionnaire!$I$5:$I$50,"High")</f>
        <v>2</v>
      </c>
    </row>
    <row r="15" customFormat="false" ht="15" hidden="false" customHeight="false" outlineLevel="0" collapsed="false">
      <c r="A15" s="16" t="s">
        <v>279</v>
      </c>
      <c r="B15" s="16"/>
      <c r="C15" s="16"/>
      <c r="D15" s="16" t="n">
        <f aca="false">SUM(D4:D14)</f>
        <v>46</v>
      </c>
      <c r="E15" s="16" t="n">
        <f aca="false">SUM(E4:E14)</f>
        <v>24</v>
      </c>
      <c r="F15" s="16" t="n">
        <f aca="false">SUM(F4:F14)</f>
        <v>92</v>
      </c>
      <c r="G15" s="17" t="n">
        <f aca="false">IF(F15=0,0,E15/F15)</f>
        <v>0.260869565217391</v>
      </c>
      <c r="H15" s="16" t="str">
        <f aca="false">IF(G15&gt;=0.75,"Good",IF(G15&gt;=0.5,"Partial","Weak"))</f>
        <v>Weak</v>
      </c>
      <c r="I15" s="16" t="n">
        <f aca="false">SUM(I4:I14)</f>
        <v>22</v>
      </c>
    </row>
    <row r="17" customFormat="false" ht="15" hidden="false" customHeight="false" outlineLevel="0" collapsed="false">
      <c r="A17" s="9" t="s">
        <v>280</v>
      </c>
    </row>
  </sheetData>
  <conditionalFormatting sqref="H4:H15">
    <cfRule type="cellIs" priority="2" operator="equal" aboveAverage="0" equalAverage="0" bottom="0" percent="0" rank="0" text="" dxfId="0">
      <formula>"Weak"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"Good"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8" t="s">
        <v>281</v>
      </c>
    </row>
    <row r="2" customFormat="false" ht="15" hidden="false" customHeight="false" outlineLevel="0" collapsed="false">
      <c r="A2" s="9" t="s">
        <v>282</v>
      </c>
    </row>
    <row r="4" customFormat="false" ht="26.85" hidden="false" customHeight="false" outlineLevel="0" collapsed="false">
      <c r="A4" s="10" t="s">
        <v>283</v>
      </c>
      <c r="B4" s="10" t="s">
        <v>45</v>
      </c>
      <c r="C4" s="10" t="s">
        <v>47</v>
      </c>
      <c r="D4" s="10" t="s">
        <v>48</v>
      </c>
      <c r="E4" s="10" t="s">
        <v>49</v>
      </c>
      <c r="F4" s="10" t="s">
        <v>52</v>
      </c>
      <c r="G4" s="10" t="s">
        <v>53</v>
      </c>
      <c r="H4" s="10" t="s">
        <v>55</v>
      </c>
    </row>
    <row r="5" customFormat="false" ht="26.85" hidden="false" customHeight="false" outlineLevel="0" collapsed="false">
      <c r="A5" s="11" t="n">
        <v>1</v>
      </c>
      <c r="B5" s="18" t="str">
        <f aca="false">Questionnaire!A5</f>
        <v>M1</v>
      </c>
      <c r="C5" s="18" t="str">
        <f aca="false">Questionnaire!C5</f>
        <v>Management responsibility</v>
      </c>
      <c r="D5" s="18" t="str">
        <f aca="false">Questionnaire!D5</f>
        <v>Has management formally approved the cybersecurity risk-management measures?</v>
      </c>
      <c r="E5" s="18" t="str">
        <f aca="false">Questionnaire!E5</f>
        <v>No</v>
      </c>
      <c r="F5" s="18" t="n">
        <f aca="false">Questionnaire!H5</f>
        <v>6</v>
      </c>
      <c r="G5" s="18" t="str">
        <f aca="false">Questionnaire!I5</f>
        <v>High</v>
      </c>
      <c r="H5" s="18" t="str">
        <f aca="false">Questionnaire!K5</f>
        <v>Managing director to approve a security policy and measures plan in writing.</v>
      </c>
    </row>
    <row r="6" customFormat="false" ht="26.85" hidden="false" customHeight="false" outlineLevel="0" collapsed="false">
      <c r="A6" s="11" t="n">
        <v>2</v>
      </c>
      <c r="B6" s="18" t="str">
        <f aca="false">Questionnaire!A9</f>
        <v>a1</v>
      </c>
      <c r="C6" s="18" t="str">
        <f aca="false">Questionnaire!C9</f>
        <v>Risk analysis and security policies</v>
      </c>
      <c r="D6" s="18" t="str">
        <f aca="false">Questionnaire!D9</f>
        <v>Is there a written information security policy, approved and shared with staff?</v>
      </c>
      <c r="E6" s="18" t="str">
        <f aca="false">Questionnaire!E9</f>
        <v>No</v>
      </c>
      <c r="F6" s="18" t="n">
        <f aca="false">Questionnaire!H9</f>
        <v>6</v>
      </c>
      <c r="G6" s="18" t="str">
        <f aca="false">Questionnaire!I9</f>
        <v>High</v>
      </c>
      <c r="H6" s="18" t="str">
        <f aca="false">Questionnaire!K9</f>
        <v>Write a short security policy covering the Art. 21 areas.</v>
      </c>
    </row>
    <row r="7" customFormat="false" ht="26.85" hidden="false" customHeight="false" outlineLevel="0" collapsed="false">
      <c r="A7" s="11" t="n">
        <v>3</v>
      </c>
      <c r="B7" s="18" t="str">
        <f aca="false">Questionnaire!A10</f>
        <v>a2</v>
      </c>
      <c r="C7" s="18" t="str">
        <f aca="false">Questionnaire!C10</f>
        <v>Risk analysis and security policies</v>
      </c>
      <c r="D7" s="18" t="str">
        <f aca="false">Questionnaire!D10</f>
        <v>Has a documented IT risk assessment been done in the last 12 months?</v>
      </c>
      <c r="E7" s="18" t="str">
        <f aca="false">Questionnaire!E10</f>
        <v>No</v>
      </c>
      <c r="F7" s="18" t="n">
        <f aca="false">Questionnaire!H10</f>
        <v>6</v>
      </c>
      <c r="G7" s="18" t="str">
        <f aca="false">Questionnaire!I10</f>
        <v>High</v>
      </c>
      <c r="H7" s="18" t="str">
        <f aca="false">Questionnaire!K10</f>
        <v>Run a yearly risk assessment and keep the risk register up to date.</v>
      </c>
    </row>
    <row r="8" customFormat="false" ht="26.85" hidden="false" customHeight="false" outlineLevel="0" collapsed="false">
      <c r="A8" s="11" t="n">
        <v>4</v>
      </c>
      <c r="B8" s="18" t="str">
        <f aca="false">Questionnaire!A13</f>
        <v>b1</v>
      </c>
      <c r="C8" s="18" t="str">
        <f aca="false">Questionnaire!C13</f>
        <v>Incident handling and reporting</v>
      </c>
      <c r="D8" s="18" t="str">
        <f aca="false">Questionnaire!D13</f>
        <v>Is there a written incident response procedure?</v>
      </c>
      <c r="E8" s="18" t="str">
        <f aca="false">Questionnaire!E13</f>
        <v>No</v>
      </c>
      <c r="F8" s="18" t="n">
        <f aca="false">Questionnaire!H13</f>
        <v>6</v>
      </c>
      <c r="G8" s="18" t="str">
        <f aca="false">Questionnaire!I13</f>
        <v>High</v>
      </c>
      <c r="H8" s="18" t="str">
        <f aca="false">Questionnaire!K13</f>
        <v>Write a 1-2 page incident procedure with roles and contacts.</v>
      </c>
    </row>
    <row r="9" customFormat="false" ht="26.85" hidden="false" customHeight="false" outlineLevel="0" collapsed="false">
      <c r="A9" s="11" t="n">
        <v>5</v>
      </c>
      <c r="B9" s="18" t="str">
        <f aca="false">Questionnaire!A15</f>
        <v>b3</v>
      </c>
      <c r="C9" s="18" t="str">
        <f aca="false">Questionnaire!C15</f>
        <v>Incident handling and reporting</v>
      </c>
      <c r="D9" s="18" t="str">
        <f aca="false">Questionnaire!D15</f>
        <v>Is there a process to report significant incidents to the national CSIRT (24h early warning, 72h notification)?</v>
      </c>
      <c r="E9" s="18" t="str">
        <f aca="false">Questionnaire!E15</f>
        <v>No</v>
      </c>
      <c r="F9" s="18" t="n">
        <f aca="false">Questionnaire!H15</f>
        <v>6</v>
      </c>
      <c r="G9" s="18" t="str">
        <f aca="false">Questionnaire!I15</f>
        <v>High</v>
      </c>
      <c r="H9" s="18" t="str">
        <f aca="false">Questionnaire!K15</f>
        <v>Name who reports, add CSIRT contacts and deadlines to the procedure.</v>
      </c>
    </row>
    <row r="10" customFormat="false" ht="26.85" hidden="false" customHeight="false" outlineLevel="0" collapsed="false">
      <c r="A10" s="11" t="n">
        <v>6</v>
      </c>
      <c r="B10" s="18" t="str">
        <f aca="false">Questionnaire!A19</f>
        <v>c2</v>
      </c>
      <c r="C10" s="18" t="str">
        <f aca="false">Questionnaire!C19</f>
        <v>Business continuity and backups</v>
      </c>
      <c r="D10" s="18" t="str">
        <f aca="false">Questionnaire!D19</f>
        <v>Is at least one backup copy offline or off-site?</v>
      </c>
      <c r="E10" s="18" t="str">
        <f aca="false">Questionnaire!E19</f>
        <v>No</v>
      </c>
      <c r="F10" s="18" t="n">
        <f aca="false">Questionnaire!H19</f>
        <v>6</v>
      </c>
      <c r="G10" s="18" t="str">
        <f aca="false">Questionnaire!I19</f>
        <v>High</v>
      </c>
      <c r="H10" s="18" t="str">
        <f aca="false">Questionnaire!K19</f>
        <v>Add an off-site or offline copy (cloud backup or rotated disk).</v>
      </c>
    </row>
    <row r="11" customFormat="false" ht="26.85" hidden="false" customHeight="false" outlineLevel="0" collapsed="false">
      <c r="A11" s="11" t="n">
        <v>7</v>
      </c>
      <c r="B11" s="18" t="str">
        <f aca="false">Questionnaire!A20</f>
        <v>c3</v>
      </c>
      <c r="C11" s="18" t="str">
        <f aca="false">Questionnaire!C20</f>
        <v>Business continuity and backups</v>
      </c>
      <c r="D11" s="18" t="str">
        <f aca="false">Questionnaire!D20</f>
        <v>Has a restore been tested in the last 6 months?</v>
      </c>
      <c r="E11" s="18" t="str">
        <f aca="false">Questionnaire!E20</f>
        <v>No</v>
      </c>
      <c r="F11" s="18" t="n">
        <f aca="false">Questionnaire!H20</f>
        <v>6</v>
      </c>
      <c r="G11" s="18" t="str">
        <f aca="false">Questionnaire!I20</f>
        <v>High</v>
      </c>
      <c r="H11" s="18" t="str">
        <f aca="false">Questionnaire!K20</f>
        <v>Test a full restore of the ERP every quarter and record the result.</v>
      </c>
    </row>
    <row r="12" customFormat="false" ht="26.85" hidden="false" customHeight="false" outlineLevel="0" collapsed="false">
      <c r="A12" s="11" t="n">
        <v>8</v>
      </c>
      <c r="B12" s="18" t="str">
        <f aca="false">Questionnaire!A24</f>
        <v>d2</v>
      </c>
      <c r="C12" s="18" t="str">
        <f aca="false">Questionnaire!C24</f>
        <v>Supply chain security</v>
      </c>
      <c r="D12" s="18" t="str">
        <f aca="false">Questionnaire!D24</f>
        <v>Do supplier contracts include security and incident-notification requirements?</v>
      </c>
      <c r="E12" s="18" t="str">
        <f aca="false">Questionnaire!E24</f>
        <v>No</v>
      </c>
      <c r="F12" s="18" t="n">
        <f aca="false">Questionnaire!H24</f>
        <v>6</v>
      </c>
      <c r="G12" s="18" t="str">
        <f aca="false">Questionnaire!I24</f>
        <v>High</v>
      </c>
      <c r="H12" s="18" t="str">
        <f aca="false">Questionnaire!K24</f>
        <v>Add security clauses when contracts are renewed.</v>
      </c>
    </row>
    <row r="13" customFormat="false" ht="26.85" hidden="false" customHeight="false" outlineLevel="0" collapsed="false">
      <c r="A13" s="11" t="n">
        <v>9</v>
      </c>
      <c r="B13" s="18" t="str">
        <f aca="false">Questionnaire!A25</f>
        <v>d3</v>
      </c>
      <c r="C13" s="18" t="str">
        <f aca="false">Questionnaire!C25</f>
        <v>Supply chain security</v>
      </c>
      <c r="D13" s="18" t="str">
        <f aca="false">Questionnaire!D25</f>
        <v>Is supplier remote access approved, time-limited and logged?</v>
      </c>
      <c r="E13" s="18" t="str">
        <f aca="false">Questionnaire!E25</f>
        <v>No</v>
      </c>
      <c r="F13" s="18" t="n">
        <f aca="false">Questionnaire!H25</f>
        <v>6</v>
      </c>
      <c r="G13" s="18" t="str">
        <f aca="false">Questionnaire!I25</f>
        <v>High</v>
      </c>
      <c r="H13" s="18" t="str">
        <f aca="false">Questionnaire!K25</f>
        <v>Enable supplier access only on request, with logging.</v>
      </c>
    </row>
    <row r="14" customFormat="false" ht="26.85" hidden="false" customHeight="false" outlineLevel="0" collapsed="false">
      <c r="A14" s="11" t="n">
        <v>10</v>
      </c>
      <c r="B14" s="18" t="str">
        <f aca="false">Questionnaire!A29</f>
        <v>e3</v>
      </c>
      <c r="C14" s="18" t="str">
        <f aca="false">Questionnaire!C29</f>
        <v>Secure acquisition, development and maintenance</v>
      </c>
      <c r="D14" s="18" t="str">
        <f aca="false">Questionnaire!D29</f>
        <v>Are default passwords changed on new devices and services?</v>
      </c>
      <c r="E14" s="18" t="str">
        <f aca="false">Questionnaire!E29</f>
        <v>No</v>
      </c>
      <c r="F14" s="18" t="n">
        <f aca="false">Questionnaire!H29</f>
        <v>6</v>
      </c>
      <c r="G14" s="18" t="str">
        <f aca="false">Questionnaire!I29</f>
        <v>High</v>
      </c>
      <c r="H14" s="18" t="str">
        <f aca="false">Questionnaire!K29</f>
        <v>Change all default passwords; add it to the setup checklist.</v>
      </c>
    </row>
    <row r="15" customFormat="false" ht="26.85" hidden="false" customHeight="false" outlineLevel="0" collapsed="false">
      <c r="A15" s="11" t="n">
        <v>11</v>
      </c>
      <c r="B15" s="18" t="str">
        <f aca="false">Questionnaire!A34</f>
        <v>g1</v>
      </c>
      <c r="C15" s="18" t="str">
        <f aca="false">Questionnaire!C34</f>
        <v>Cyber hygiene and training</v>
      </c>
      <c r="D15" s="18" t="str">
        <f aca="false">Questionnaire!D34</f>
        <v>Has all staff had security awareness training in the last 12 months?</v>
      </c>
      <c r="E15" s="18" t="str">
        <f aca="false">Questionnaire!E34</f>
        <v>No</v>
      </c>
      <c r="F15" s="18" t="n">
        <f aca="false">Questionnaire!H34</f>
        <v>6</v>
      </c>
      <c r="G15" s="18" t="str">
        <f aca="false">Questionnaire!I34</f>
        <v>High</v>
      </c>
      <c r="H15" s="18" t="str">
        <f aca="false">Questionnaire!K34</f>
        <v>Run yearly awareness training, including warehouse staff and drivers.</v>
      </c>
    </row>
    <row r="16" customFormat="false" ht="26.85" hidden="false" customHeight="false" outlineLevel="0" collapsed="false">
      <c r="A16" s="11" t="n">
        <v>12</v>
      </c>
      <c r="B16" s="18" t="str">
        <f aca="false">Questionnaire!A35</f>
        <v>g2</v>
      </c>
      <c r="C16" s="18" t="str">
        <f aca="false">Questionnaire!C35</f>
        <v>Cyber hygiene and training</v>
      </c>
      <c r="D16" s="18" t="str">
        <f aca="false">Questionnaire!D35</f>
        <v>Are staff trained to recognise phishing?</v>
      </c>
      <c r="E16" s="18" t="str">
        <f aca="false">Questionnaire!E35</f>
        <v>No</v>
      </c>
      <c r="F16" s="18" t="n">
        <f aca="false">Questionnaire!H35</f>
        <v>6</v>
      </c>
      <c r="G16" s="18" t="str">
        <f aca="false">Questionnaire!I35</f>
        <v>High</v>
      </c>
      <c r="H16" s="18" t="str">
        <f aca="false">Questionnaire!K35</f>
        <v>Add phishing examples to the training; consider simple phishing tests.</v>
      </c>
    </row>
    <row r="17" customFormat="false" ht="26.85" hidden="false" customHeight="false" outlineLevel="0" collapsed="false">
      <c r="A17" s="11" t="n">
        <v>13</v>
      </c>
      <c r="B17" s="18" t="str">
        <f aca="false">Questionnaire!A47</f>
        <v>j1</v>
      </c>
      <c r="C17" s="18" t="str">
        <f aca="false">Questionnaire!C47</f>
        <v>MFA and secure communications</v>
      </c>
      <c r="D17" s="18" t="str">
        <f aca="false">Questionnaire!D47</f>
        <v>Is MFA enabled on all Microsoft 365 accounts?</v>
      </c>
      <c r="E17" s="18" t="str">
        <f aca="false">Questionnaire!E47</f>
        <v>No</v>
      </c>
      <c r="F17" s="18" t="n">
        <f aca="false">Questionnaire!H47</f>
        <v>6</v>
      </c>
      <c r="G17" s="18" t="str">
        <f aca="false">Questionnaire!I47</f>
        <v>High</v>
      </c>
      <c r="H17" s="18" t="str">
        <f aca="false">Questionnaire!K47</f>
        <v>Enable MFA for all users.</v>
      </c>
    </row>
    <row r="18" customFormat="false" ht="26.85" hidden="false" customHeight="false" outlineLevel="0" collapsed="false">
      <c r="A18" s="11" t="n">
        <v>14</v>
      </c>
      <c r="B18" s="18" t="str">
        <f aca="false">Questionnaire!A48</f>
        <v>j2</v>
      </c>
      <c r="C18" s="18" t="str">
        <f aca="false">Questionnaire!C48</f>
        <v>MFA and secure communications</v>
      </c>
      <c r="D18" s="18" t="str">
        <f aca="false">Questionnaire!D48</f>
        <v>Is MFA required for remote access, including suppliers?</v>
      </c>
      <c r="E18" s="18" t="str">
        <f aca="false">Questionnaire!E48</f>
        <v>No</v>
      </c>
      <c r="F18" s="18" t="n">
        <f aca="false">Questionnaire!H48</f>
        <v>6</v>
      </c>
      <c r="G18" s="18" t="str">
        <f aca="false">Questionnaire!I48</f>
        <v>High</v>
      </c>
      <c r="H18" s="18" t="str">
        <f aca="false">Questionnaire!K48</f>
        <v>Require MFA on the VPN.</v>
      </c>
    </row>
    <row r="19" customFormat="false" ht="26.85" hidden="false" customHeight="false" outlineLevel="0" collapsed="false">
      <c r="A19" s="11" t="n">
        <v>15</v>
      </c>
      <c r="B19" s="18" t="str">
        <f aca="false">Questionnaire!A6</f>
        <v>M2</v>
      </c>
      <c r="C19" s="18" t="str">
        <f aca="false">Questionnaire!C6</f>
        <v>Management responsibility</v>
      </c>
      <c r="D19" s="18" t="str">
        <f aca="false">Questionnaire!D6</f>
        <v>Has management completed cybersecurity training?</v>
      </c>
      <c r="E19" s="18" t="str">
        <f aca="false">Questionnaire!E6</f>
        <v>No</v>
      </c>
      <c r="F19" s="18" t="n">
        <f aca="false">Questionnaire!H6</f>
        <v>4</v>
      </c>
      <c r="G19" s="18" t="str">
        <f aca="false">Questionnaire!I6</f>
        <v>High</v>
      </c>
      <c r="H19" s="18" t="str">
        <f aca="false">Questionnaire!K6</f>
        <v>Book a half-day management cybersecurity training session.</v>
      </c>
    </row>
    <row r="20" customFormat="false" ht="26.85" hidden="false" customHeight="false" outlineLevel="0" collapsed="false">
      <c r="A20" s="11" t="n">
        <v>16</v>
      </c>
      <c r="B20" s="18" t="str">
        <f aca="false">Questionnaire!A22</f>
        <v>c5</v>
      </c>
      <c r="C20" s="18" t="str">
        <f aca="false">Questionnaire!C22</f>
        <v>Business continuity and backups</v>
      </c>
      <c r="D20" s="18" t="str">
        <f aca="false">Questionnaire!D22</f>
        <v>Are recovery time targets defined for critical systems?</v>
      </c>
      <c r="E20" s="18" t="str">
        <f aca="false">Questionnaire!E22</f>
        <v>No</v>
      </c>
      <c r="F20" s="18" t="n">
        <f aca="false">Questionnaire!H22</f>
        <v>4</v>
      </c>
      <c r="G20" s="18" t="str">
        <f aca="false">Questionnaire!I22</f>
        <v>High</v>
      </c>
      <c r="H20" s="18" t="str">
        <f aca="false">Questionnaire!K22</f>
        <v>Agree recovery targets with management (e.g. ERP back within 24h).</v>
      </c>
    </row>
    <row r="21" customFormat="false" ht="26.85" hidden="false" customHeight="false" outlineLevel="0" collapsed="false">
      <c r="A21" s="11" t="n">
        <v>17</v>
      </c>
      <c r="B21" s="18" t="str">
        <f aca="false">Questionnaire!A26</f>
        <v>d4</v>
      </c>
      <c r="C21" s="18" t="str">
        <f aca="false">Questionnaire!C26</f>
        <v>Supply chain security</v>
      </c>
      <c r="D21" s="18" t="str">
        <f aca="false">Questionnaire!D26</f>
        <v>Are suppliers' security practices checked before onboarding?</v>
      </c>
      <c r="E21" s="18" t="str">
        <f aca="false">Questionnaire!E26</f>
        <v>No</v>
      </c>
      <c r="F21" s="18" t="n">
        <f aca="false">Questionnaire!H26</f>
        <v>4</v>
      </c>
      <c r="G21" s="18" t="str">
        <f aca="false">Questionnaire!I26</f>
        <v>High</v>
      </c>
      <c r="H21" s="18" t="str">
        <f aca="false">Questionnaire!K26</f>
        <v>Use a short supplier security questionnaire.</v>
      </c>
    </row>
    <row r="22" customFormat="false" ht="26.85" hidden="false" customHeight="false" outlineLevel="0" collapsed="false">
      <c r="A22" s="11" t="n">
        <v>18</v>
      </c>
      <c r="B22" s="18" t="str">
        <f aca="false">Questionnaire!A31</f>
        <v>f1</v>
      </c>
      <c r="C22" s="18" t="str">
        <f aca="false">Questionnaire!C31</f>
        <v>Effectiveness assessment</v>
      </c>
      <c r="D22" s="18" t="str">
        <f aca="false">Questionnaire!D31</f>
        <v>Are security measures checked periodically (internal review or test)?</v>
      </c>
      <c r="E22" s="18" t="str">
        <f aca="false">Questionnaire!E31</f>
        <v>No</v>
      </c>
      <c r="F22" s="18" t="n">
        <f aca="false">Questionnaire!H31</f>
        <v>4</v>
      </c>
      <c r="G22" s="18" t="str">
        <f aca="false">Questionnaire!I31</f>
        <v>High</v>
      </c>
      <c r="H22" s="18" t="str">
        <f aca="false">Questionnaire!K31</f>
        <v>Do a yearly internal review using this questionnaire.</v>
      </c>
    </row>
    <row r="23" customFormat="false" ht="26.85" hidden="false" customHeight="false" outlineLevel="0" collapsed="false">
      <c r="A23" s="11" t="n">
        <v>19</v>
      </c>
      <c r="B23" s="18" t="str">
        <f aca="false">Questionnaire!A32</f>
        <v>f2</v>
      </c>
      <c r="C23" s="18" t="str">
        <f aca="false">Questionnaire!C32</f>
        <v>Effectiveness assessment</v>
      </c>
      <c r="D23" s="18" t="str">
        <f aca="false">Questionnaire!D32</f>
        <v>Has an external vulnerability scan or penetration test been done?</v>
      </c>
      <c r="E23" s="18" t="str">
        <f aca="false">Questionnaire!E32</f>
        <v>No</v>
      </c>
      <c r="F23" s="18" t="n">
        <f aca="false">Questionnaire!H32</f>
        <v>4</v>
      </c>
      <c r="G23" s="18" t="str">
        <f aca="false">Questionnaire!I32</f>
        <v>High</v>
      </c>
      <c r="H23" s="18" t="str">
        <f aca="false">Questionnaire!K32</f>
        <v>Run an external vulnerability scan of the web shop and firewall.</v>
      </c>
    </row>
    <row r="24" customFormat="false" ht="15" hidden="false" customHeight="false" outlineLevel="0" collapsed="false">
      <c r="A24" s="11" t="n">
        <v>20</v>
      </c>
      <c r="B24" s="18" t="str">
        <f aca="false">Questionnaire!A41</f>
        <v>h4</v>
      </c>
      <c r="C24" s="18" t="str">
        <f aca="false">Questionnaire!C41</f>
        <v>Cryptography and encryption</v>
      </c>
      <c r="D24" s="18" t="str">
        <f aca="false">Questionnaire!D41</f>
        <v>Are backups encrypted?</v>
      </c>
      <c r="E24" s="18" t="str">
        <f aca="false">Questionnaire!E41</f>
        <v>No</v>
      </c>
      <c r="F24" s="18" t="n">
        <f aca="false">Questionnaire!H41</f>
        <v>4</v>
      </c>
      <c r="G24" s="18" t="str">
        <f aca="false">Questionnaire!I41</f>
        <v>High</v>
      </c>
      <c r="H24" s="18" t="str">
        <f aca="false">Questionnaire!K41</f>
        <v>Encrypt backups, especially any off-site copy.</v>
      </c>
    </row>
    <row r="25" customFormat="false" ht="26.85" hidden="false" customHeight="false" outlineLevel="0" collapsed="false">
      <c r="A25" s="11" t="n">
        <v>21</v>
      </c>
      <c r="B25" s="18" t="str">
        <f aca="false">Questionnaire!A43</f>
        <v>i2</v>
      </c>
      <c r="C25" s="18" t="str">
        <f aca="false">Questionnaire!C43</f>
        <v>HR security, access control and assets</v>
      </c>
      <c r="D25" s="18" t="str">
        <f aca="false">Questionnaire!D43</f>
        <v>Does everyone use their own account (no shared logins)?</v>
      </c>
      <c r="E25" s="18" t="str">
        <f aca="false">Questionnaire!E43</f>
        <v>No</v>
      </c>
      <c r="F25" s="18" t="n">
        <f aca="false">Questionnaire!H43</f>
        <v>4</v>
      </c>
      <c r="G25" s="18" t="str">
        <f aca="false">Questionnaire!I43</f>
        <v>High</v>
      </c>
      <c r="H25" s="18" t="str">
        <f aca="false">Questionnaire!K43</f>
        <v>Give scanner users individual logins or PINs.</v>
      </c>
    </row>
    <row r="26" customFormat="false" ht="26.85" hidden="false" customHeight="false" outlineLevel="0" collapsed="false">
      <c r="A26" s="11" t="n">
        <v>22</v>
      </c>
      <c r="B26" s="18" t="str">
        <f aca="false">Questionnaire!A45</f>
        <v>i4</v>
      </c>
      <c r="C26" s="18" t="str">
        <f aca="false">Questionnaire!C45</f>
        <v>HR security, access control and assets</v>
      </c>
      <c r="D26" s="18" t="str">
        <f aca="false">Questionnaire!D45</f>
        <v>Is there an up-to-date inventory of all devices?</v>
      </c>
      <c r="E26" s="18" t="str">
        <f aca="false">Questionnaire!E45</f>
        <v>No</v>
      </c>
      <c r="F26" s="18" t="n">
        <f aca="false">Questionnaire!H45</f>
        <v>4</v>
      </c>
      <c r="G26" s="18" t="str">
        <f aca="false">Questionnaire!I45</f>
        <v>High</v>
      </c>
      <c r="H26" s="18" t="str">
        <f aca="false">Questionnaire!K45</f>
        <v>Build a device inventory (PCs, scanners, phones, server, NAS).</v>
      </c>
    </row>
    <row r="27" customFormat="false" ht="26.85" hidden="false" customHeight="false" outlineLevel="0" collapsed="false">
      <c r="A27" s="11" t="n">
        <v>23</v>
      </c>
      <c r="B27" s="18" t="str">
        <f aca="false">Questionnaire!A27</f>
        <v>e1</v>
      </c>
      <c r="C27" s="18" t="str">
        <f aca="false">Questionnaire!C27</f>
        <v>Secure acquisition, development and maintenance</v>
      </c>
      <c r="D27" s="18" t="str">
        <f aca="false">Questionnaire!D27</f>
        <v>Are PCs and servers patched regularly (at least monthly)?</v>
      </c>
      <c r="E27" s="18" t="str">
        <f aca="false">Questionnaire!E27</f>
        <v>Partial</v>
      </c>
      <c r="F27" s="18" t="n">
        <f aca="false">Questionnaire!H27</f>
        <v>3</v>
      </c>
      <c r="G27" s="18" t="str">
        <f aca="false">Questionnaire!I27</f>
        <v>Medium</v>
      </c>
      <c r="H27" s="18" t="str">
        <f aca="false">Questionnaire!K27</f>
        <v>Agree a monthly patch window for the server.</v>
      </c>
    </row>
    <row r="28" customFormat="false" ht="26.85" hidden="false" customHeight="false" outlineLevel="0" collapsed="false">
      <c r="A28" s="11" t="n">
        <v>24</v>
      </c>
      <c r="B28" s="18" t="str">
        <f aca="false">Questionnaire!A42</f>
        <v>i1</v>
      </c>
      <c r="C28" s="18" t="str">
        <f aca="false">Questionnaire!C42</f>
        <v>HR security, access control and assets</v>
      </c>
      <c r="D28" s="18" t="str">
        <f aca="false">Questionnaire!D42</f>
        <v>Are leavers' accounts disabled on their last day?</v>
      </c>
      <c r="E28" s="18" t="str">
        <f aca="false">Questionnaire!E42</f>
        <v>Partial</v>
      </c>
      <c r="F28" s="18" t="n">
        <f aca="false">Questionnaire!H42</f>
        <v>3</v>
      </c>
      <c r="G28" s="18" t="str">
        <f aca="false">Questionnaire!I42</f>
        <v>Medium</v>
      </c>
      <c r="H28" s="18" t="str">
        <f aca="false">Questionnaire!K42</f>
        <v>Add account removal to the HR leaver checklist.</v>
      </c>
    </row>
    <row r="29" customFormat="false" ht="15" hidden="false" customHeight="false" outlineLevel="0" collapsed="false">
      <c r="A29" s="11" t="n">
        <v>25</v>
      </c>
      <c r="B29" s="18" t="str">
        <f aca="false">Questionnaire!A7</f>
        <v>M3</v>
      </c>
      <c r="C29" s="18" t="str">
        <f aca="false">Questionnaire!C7</f>
        <v>Management responsibility</v>
      </c>
      <c r="D29" s="18" t="str">
        <f aca="false">Questionnaire!D7</f>
        <v>Is a named person responsible for cybersecurity?</v>
      </c>
      <c r="E29" s="18" t="str">
        <f aca="false">Questionnaire!E7</f>
        <v>Partial</v>
      </c>
      <c r="F29" s="18" t="n">
        <f aca="false">Questionnaire!H7</f>
        <v>2</v>
      </c>
      <c r="G29" s="18" t="str">
        <f aca="false">Questionnaire!I7</f>
        <v>Medium</v>
      </c>
      <c r="H29" s="18" t="str">
        <f aca="false">Questionnaire!K7</f>
        <v>Formally name a security lead with time allocated.</v>
      </c>
    </row>
    <row r="30" customFormat="false" ht="26.85" hidden="false" customHeight="false" outlineLevel="0" collapsed="false">
      <c r="A30" s="11" t="n">
        <v>26</v>
      </c>
      <c r="B30" s="18" t="str">
        <f aca="false">Questionnaire!A11</f>
        <v>a3</v>
      </c>
      <c r="C30" s="18" t="str">
        <f aca="false">Questionnaire!C11</f>
        <v>Risk analysis and security policies</v>
      </c>
      <c r="D30" s="18" t="str">
        <f aca="false">Questionnaire!D11</f>
        <v>Are critical systems identified with their business impact (ERP, cold store, web shop)?</v>
      </c>
      <c r="E30" s="18" t="str">
        <f aca="false">Questionnaire!E11</f>
        <v>Partial</v>
      </c>
      <c r="F30" s="18" t="n">
        <f aca="false">Questionnaire!H11</f>
        <v>2</v>
      </c>
      <c r="G30" s="18" t="str">
        <f aca="false">Questionnaire!I11</f>
        <v>Medium</v>
      </c>
      <c r="H30" s="18" t="str">
        <f aca="false">Questionnaire!K11</f>
        <v>List critical systems with impact and maximum tolerable downtime.</v>
      </c>
    </row>
    <row r="31" customFormat="false" ht="26.85" hidden="false" customHeight="false" outlineLevel="0" collapsed="false">
      <c r="A31" s="11" t="n">
        <v>27</v>
      </c>
      <c r="B31" s="18" t="str">
        <f aca="false">Questionnaire!A12</f>
        <v>a4</v>
      </c>
      <c r="C31" s="18" t="str">
        <f aca="false">Questionnaire!C12</f>
        <v>Risk analysis and security policies</v>
      </c>
      <c r="D31" s="18" t="str">
        <f aca="false">Questionnaire!D12</f>
        <v>Are security policies reviewed at least yearly?</v>
      </c>
      <c r="E31" s="18" t="str">
        <f aca="false">Questionnaire!E12</f>
        <v>No</v>
      </c>
      <c r="F31" s="18" t="n">
        <f aca="false">Questionnaire!H12</f>
        <v>2</v>
      </c>
      <c r="G31" s="18" t="str">
        <f aca="false">Questionnaire!I12</f>
        <v>Medium</v>
      </c>
      <c r="H31" s="18" t="str">
        <f aca="false">Questionnaire!K12</f>
        <v>Set a yearly review date once the policy exists.</v>
      </c>
    </row>
    <row r="32" customFormat="false" ht="26.85" hidden="false" customHeight="false" outlineLevel="0" collapsed="false">
      <c r="A32" s="11" t="n">
        <v>28</v>
      </c>
      <c r="B32" s="18" t="str">
        <f aca="false">Questionnaire!A14</f>
        <v>b2</v>
      </c>
      <c r="C32" s="18" t="str">
        <f aca="false">Questionnaire!C14</f>
        <v>Incident handling and reporting</v>
      </c>
      <c r="D32" s="18" t="str">
        <f aca="false">Questionnaire!D14</f>
        <v>Do staff know how and to whom to report a suspicious event?</v>
      </c>
      <c r="E32" s="18" t="str">
        <f aca="false">Questionnaire!E14</f>
        <v>Partial</v>
      </c>
      <c r="F32" s="18" t="n">
        <f aca="false">Questionnaire!H14</f>
        <v>2</v>
      </c>
      <c r="G32" s="18" t="str">
        <f aca="false">Questionnaire!I14</f>
        <v>Medium</v>
      </c>
      <c r="H32" s="18" t="str">
        <f aca="false">Questionnaire!K14</f>
        <v>Put a one-line reporting rule on posters and in onboarding.</v>
      </c>
    </row>
    <row r="33" customFormat="false" ht="26.85" hidden="false" customHeight="false" outlineLevel="0" collapsed="false">
      <c r="A33" s="11" t="n">
        <v>29</v>
      </c>
      <c r="B33" s="18" t="str">
        <f aca="false">Questionnaire!A16</f>
        <v>b4</v>
      </c>
      <c r="C33" s="18" t="str">
        <f aca="false">Questionnaire!C16</f>
        <v>Incident handling and reporting</v>
      </c>
      <c r="D33" s="18" t="str">
        <f aca="false">Questionnaire!D16</f>
        <v>Are logs (firewall, Microsoft 365, server) kept long enough to investigate an incident?</v>
      </c>
      <c r="E33" s="18" t="str">
        <f aca="false">Questionnaire!E16</f>
        <v>Partial</v>
      </c>
      <c r="F33" s="18" t="n">
        <f aca="false">Questionnaire!H16</f>
        <v>2</v>
      </c>
      <c r="G33" s="18" t="str">
        <f aca="false">Questionnaire!I16</f>
        <v>Medium</v>
      </c>
      <c r="H33" s="18" t="str">
        <f aca="false">Questionnaire!K16</f>
        <v>Keep key logs for at least 90 days.</v>
      </c>
    </row>
    <row r="34" customFormat="false" ht="26.85" hidden="false" customHeight="false" outlineLevel="0" collapsed="false">
      <c r="A34" s="11" t="n">
        <v>30</v>
      </c>
      <c r="B34" s="18" t="str">
        <f aca="false">Questionnaire!A17</f>
        <v>b5</v>
      </c>
      <c r="C34" s="18" t="str">
        <f aca="false">Questionnaire!C17</f>
        <v>Incident handling and reporting</v>
      </c>
      <c r="D34" s="18" t="str">
        <f aca="false">Questionnaire!D17</f>
        <v>Is an incident log kept?</v>
      </c>
      <c r="E34" s="18" t="str">
        <f aca="false">Questionnaire!E17</f>
        <v>No</v>
      </c>
      <c r="F34" s="18" t="n">
        <f aca="false">Questionnaire!H17</f>
        <v>2</v>
      </c>
      <c r="G34" s="18" t="str">
        <f aca="false">Questionnaire!I17</f>
        <v>Medium</v>
      </c>
      <c r="H34" s="18" t="str">
        <f aca="false">Questionnaire!K17</f>
        <v>Start a simple incident log (date, what, impact, action).</v>
      </c>
    </row>
    <row r="35" customFormat="false" ht="26.85" hidden="false" customHeight="false" outlineLevel="0" collapsed="false">
      <c r="A35" s="11" t="n">
        <v>31</v>
      </c>
      <c r="B35" s="18" t="str">
        <f aca="false">Questionnaire!A21</f>
        <v>c4</v>
      </c>
      <c r="C35" s="18" t="str">
        <f aca="false">Questionnaire!C21</f>
        <v>Business continuity and backups</v>
      </c>
      <c r="D35" s="18" t="str">
        <f aca="false">Questionnaire!D21</f>
        <v>Is there a continuity plan for losing the ERP or cold store monitoring?</v>
      </c>
      <c r="E35" s="18" t="str">
        <f aca="false">Questionnaire!E21</f>
        <v>Partial</v>
      </c>
      <c r="F35" s="18" t="n">
        <f aca="false">Questionnaire!H21</f>
        <v>2</v>
      </c>
      <c r="G35" s="18" t="str">
        <f aca="false">Questionnaire!I21</f>
        <v>Medium</v>
      </c>
      <c r="H35" s="18" t="str">
        <f aca="false">Questionnaire!K21</f>
        <v>Write a manual fallback for orders and deliveries.</v>
      </c>
    </row>
    <row r="36" customFormat="false" ht="26.85" hidden="false" customHeight="false" outlineLevel="0" collapsed="false">
      <c r="A36" s="11" t="n">
        <v>32</v>
      </c>
      <c r="B36" s="18" t="str">
        <f aca="false">Questionnaire!A23</f>
        <v>d1</v>
      </c>
      <c r="C36" s="18" t="str">
        <f aca="false">Questionnaire!C23</f>
        <v>Supply chain security</v>
      </c>
      <c r="D36" s="18" t="str">
        <f aca="false">Questionnaire!D23</f>
        <v>Is there a list of suppliers with access to systems or data?</v>
      </c>
      <c r="E36" s="18" t="str">
        <f aca="false">Questionnaire!E23</f>
        <v>Partial</v>
      </c>
      <c r="F36" s="18" t="n">
        <f aca="false">Questionnaire!H23</f>
        <v>2</v>
      </c>
      <c r="G36" s="18" t="str">
        <f aca="false">Questionnaire!I23</f>
        <v>Medium</v>
      </c>
      <c r="H36" s="18" t="str">
        <f aca="false">Questionnaire!K23</f>
        <v>Write the supplier list with what each can access.</v>
      </c>
    </row>
    <row r="37" customFormat="false" ht="26.85" hidden="false" customHeight="false" outlineLevel="0" collapsed="false">
      <c r="A37" s="11" t="n">
        <v>33</v>
      </c>
      <c r="B37" s="18" t="str">
        <f aca="false">Questionnaire!A28</f>
        <v>e2</v>
      </c>
      <c r="C37" s="18" t="str">
        <f aca="false">Questionnaire!C28</f>
        <v>Secure acquisition, development and maintenance</v>
      </c>
      <c r="D37" s="18" t="str">
        <f aca="false">Questionnaire!D28</f>
        <v>Are the ERP and web shop kept up to date by their suppliers?</v>
      </c>
      <c r="E37" s="18" t="str">
        <f aca="false">Questionnaire!E28</f>
        <v>Partial</v>
      </c>
      <c r="F37" s="18" t="n">
        <f aca="false">Questionnaire!H28</f>
        <v>2</v>
      </c>
      <c r="G37" s="18" t="str">
        <f aca="false">Questionnaire!I28</f>
        <v>Medium</v>
      </c>
      <c r="H37" s="18" t="str">
        <f aca="false">Questionnaire!K28</f>
        <v>Ask the web agency for update and vulnerability-handling commitments.</v>
      </c>
    </row>
    <row r="38" customFormat="false" ht="26.85" hidden="false" customHeight="false" outlineLevel="0" collapsed="false">
      <c r="A38" s="11" t="n">
        <v>34</v>
      </c>
      <c r="B38" s="18" t="str">
        <f aca="false">Questionnaire!A30</f>
        <v>e4</v>
      </c>
      <c r="C38" s="18" t="str">
        <f aca="false">Questionnaire!C30</f>
        <v>Secure acquisition, development and maintenance</v>
      </c>
      <c r="D38" s="18" t="str">
        <f aca="false">Questionnaire!D30</f>
        <v>Are security requirements considered when buying new systems?</v>
      </c>
      <c r="E38" s="18" t="str">
        <f aca="false">Questionnaire!E30</f>
        <v>No</v>
      </c>
      <c r="F38" s="18" t="n">
        <f aca="false">Questionnaire!H30</f>
        <v>2</v>
      </c>
      <c r="G38" s="18" t="str">
        <f aca="false">Questionnaire!I30</f>
        <v>Medium</v>
      </c>
      <c r="H38" s="18" t="str">
        <f aca="false">Questionnaire!K30</f>
        <v>Add a few security questions to purchasing.</v>
      </c>
    </row>
    <row r="39" customFormat="false" ht="26.85" hidden="false" customHeight="false" outlineLevel="0" collapsed="false">
      <c r="A39" s="11" t="n">
        <v>35</v>
      </c>
      <c r="B39" s="18" t="str">
        <f aca="false">Questionnaire!A33</f>
        <v>f3</v>
      </c>
      <c r="C39" s="18" t="str">
        <f aca="false">Questionnaire!C33</f>
        <v>Effectiveness assessment</v>
      </c>
      <c r="D39" s="18" t="str">
        <f aca="false">Questionnaire!D33</f>
        <v>Are security status or metrics reported to management?</v>
      </c>
      <c r="E39" s="18" t="str">
        <f aca="false">Questionnaire!E33</f>
        <v>No</v>
      </c>
      <c r="F39" s="18" t="n">
        <f aca="false">Questionnaire!H33</f>
        <v>2</v>
      </c>
      <c r="G39" s="18" t="str">
        <f aca="false">Questionnaire!I33</f>
        <v>Medium</v>
      </c>
      <c r="H39" s="18" t="str">
        <f aca="false">Questionnaire!K33</f>
        <v>Add a short quarterly security update to management meetings.</v>
      </c>
    </row>
    <row r="40" customFormat="false" ht="26.85" hidden="false" customHeight="false" outlineLevel="0" collapsed="false">
      <c r="A40" s="11" t="n">
        <v>36</v>
      </c>
      <c r="B40" s="18" t="str">
        <f aca="false">Questionnaire!A37</f>
        <v>g4</v>
      </c>
      <c r="C40" s="18" t="str">
        <f aca="false">Questionnaire!C37</f>
        <v>Cyber hygiene and training</v>
      </c>
      <c r="D40" s="18" t="str">
        <f aca="false">Questionnaire!D37</f>
        <v>Are there password rules (length, no reuse)?</v>
      </c>
      <c r="E40" s="18" t="str">
        <f aca="false">Questionnaire!E37</f>
        <v>Partial</v>
      </c>
      <c r="F40" s="18" t="n">
        <f aca="false">Questionnaire!H37</f>
        <v>2</v>
      </c>
      <c r="G40" s="18" t="str">
        <f aca="false">Questionnaire!I37</f>
        <v>Medium</v>
      </c>
      <c r="H40" s="18" t="str">
        <f aca="false">Questionnaire!K37</f>
        <v>Set a clear password rule and allow a password manager.</v>
      </c>
    </row>
    <row r="41" customFormat="false" ht="15" hidden="false" customHeight="false" outlineLevel="0" collapsed="false">
      <c r="A41" s="11" t="n">
        <v>37</v>
      </c>
      <c r="B41" s="18" t="str">
        <f aca="false">Questionnaire!A38</f>
        <v>h1</v>
      </c>
      <c r="C41" s="18" t="str">
        <f aca="false">Questionnaire!C38</f>
        <v>Cryptography and encryption</v>
      </c>
      <c r="D41" s="18" t="str">
        <f aca="false">Questionnaire!D38</f>
        <v>Are laptops encrypted (e.g. BitLocker)?</v>
      </c>
      <c r="E41" s="18" t="str">
        <f aca="false">Questionnaire!E38</f>
        <v>Partial</v>
      </c>
      <c r="F41" s="18" t="n">
        <f aca="false">Questionnaire!H38</f>
        <v>2</v>
      </c>
      <c r="G41" s="18" t="str">
        <f aca="false">Questionnaire!I38</f>
        <v>Medium</v>
      </c>
      <c r="H41" s="18" t="str">
        <f aca="false">Questionnaire!K38</f>
        <v>Turn on BitLocker on all laptops.</v>
      </c>
    </row>
    <row r="42" customFormat="false" ht="26.85" hidden="false" customHeight="false" outlineLevel="0" collapsed="false">
      <c r="A42" s="11" t="n">
        <v>38</v>
      </c>
      <c r="B42" s="18" t="str">
        <f aca="false">Questionnaire!A44</f>
        <v>i3</v>
      </c>
      <c r="C42" s="18" t="str">
        <f aca="false">Questionnaire!C44</f>
        <v>HR security, access control and assets</v>
      </c>
      <c r="D42" s="18" t="str">
        <f aca="false">Questionnaire!D44</f>
        <v>Are admin rights limited, with separate admin accounts?</v>
      </c>
      <c r="E42" s="18" t="str">
        <f aca="false">Questionnaire!E44</f>
        <v>Partial</v>
      </c>
      <c r="F42" s="18" t="n">
        <f aca="false">Questionnaire!H44</f>
        <v>2</v>
      </c>
      <c r="G42" s="18" t="str">
        <f aca="false">Questionnaire!I44</f>
        <v>Medium</v>
      </c>
      <c r="H42" s="18" t="str">
        <f aca="false">Questionnaire!K44</f>
        <v>Create a separate admin account for the IT admin.</v>
      </c>
    </row>
    <row r="43" customFormat="false" ht="26.85" hidden="false" customHeight="false" outlineLevel="0" collapsed="false">
      <c r="A43" s="11" t="n">
        <v>39</v>
      </c>
      <c r="B43" s="18" t="str">
        <f aca="false">Questionnaire!A46</f>
        <v>i5</v>
      </c>
      <c r="C43" s="18" t="str">
        <f aca="false">Questionnaire!C46</f>
        <v>HR security, access control and assets</v>
      </c>
      <c r="D43" s="18" t="str">
        <f aca="false">Questionnaire!D46</f>
        <v>Are user access rights reviewed periodically?</v>
      </c>
      <c r="E43" s="18" t="str">
        <f aca="false">Questionnaire!E46</f>
        <v>No</v>
      </c>
      <c r="F43" s="18" t="n">
        <f aca="false">Questionnaire!H46</f>
        <v>2</v>
      </c>
      <c r="G43" s="18" t="str">
        <f aca="false">Questionnaire!I46</f>
        <v>Medium</v>
      </c>
      <c r="H43" s="18" t="str">
        <f aca="false">Questionnaire!K46</f>
        <v>Review access rights twice a year.</v>
      </c>
    </row>
    <row r="44" customFormat="false" ht="26.85" hidden="false" customHeight="false" outlineLevel="0" collapsed="false">
      <c r="A44" s="11" t="n">
        <v>40</v>
      </c>
      <c r="B44" s="18" t="str">
        <f aca="false">Questionnaire!A50</f>
        <v>j4</v>
      </c>
      <c r="C44" s="18" t="str">
        <f aca="false">Questionnaire!C50</f>
        <v>MFA and secure communications</v>
      </c>
      <c r="D44" s="18" t="str">
        <f aca="false">Questionnaire!D50</f>
        <v>Is sensitive data shared securely (e.g. with the payroll bureau)?</v>
      </c>
      <c r="E44" s="18" t="str">
        <f aca="false">Questionnaire!E50</f>
        <v>Partial</v>
      </c>
      <c r="F44" s="18" t="n">
        <f aca="false">Questionnaire!H50</f>
        <v>2</v>
      </c>
      <c r="G44" s="18" t="str">
        <f aca="false">Questionnaire!I50</f>
        <v>Medium</v>
      </c>
      <c r="H44" s="18" t="str">
        <f aca="false">Questionnaire!K50</f>
        <v>Use the payroll bureau's secure portal only.</v>
      </c>
    </row>
    <row r="45" customFormat="false" ht="26.85" hidden="false" customHeight="false" outlineLevel="0" collapsed="false">
      <c r="A45" s="11" t="n">
        <v>41</v>
      </c>
      <c r="B45" s="18" t="str">
        <f aca="false">Questionnaire!A49</f>
        <v>j3</v>
      </c>
      <c r="C45" s="18" t="str">
        <f aca="false">Questionnaire!C49</f>
        <v>MFA and secure communications</v>
      </c>
      <c r="D45" s="18" t="str">
        <f aca="false">Questionnaire!D49</f>
        <v>Is there a backup way to communicate if email is down?</v>
      </c>
      <c r="E45" s="18" t="str">
        <f aca="false">Questionnaire!E49</f>
        <v>Partial</v>
      </c>
      <c r="F45" s="18" t="n">
        <f aca="false">Questionnaire!H49</f>
        <v>1</v>
      </c>
      <c r="G45" s="18" t="str">
        <f aca="false">Questionnaire!I49</f>
        <v>Low</v>
      </c>
      <c r="H45" s="18" t="str">
        <f aca="false">Questionnaire!K49</f>
        <v>Keep an up-to-date emergency contact list offline.</v>
      </c>
    </row>
  </sheetData>
  <conditionalFormatting sqref="G5:G45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40"/>
    <col collapsed="false" customWidth="true" hidden="false" outlineLevel="0" max="14" min="13" style="0" width="11"/>
  </cols>
  <sheetData>
    <row r="1" customFormat="false" ht="17.35" hidden="false" customHeight="false" outlineLevel="0" collapsed="false">
      <c r="A1" s="8" t="s">
        <v>284</v>
      </c>
    </row>
    <row r="2" customFormat="false" ht="15" hidden="false" customHeight="false" outlineLevel="0" collapsed="false">
      <c r="A2" s="9" t="s">
        <v>285</v>
      </c>
    </row>
    <row r="4" customFormat="false" ht="26.85" hidden="false" customHeight="false" outlineLevel="0" collapsed="false">
      <c r="A4" s="10" t="s">
        <v>45</v>
      </c>
      <c r="B4" s="10" t="s">
        <v>286</v>
      </c>
      <c r="C4" s="10" t="s">
        <v>46</v>
      </c>
      <c r="D4" s="10" t="s">
        <v>287</v>
      </c>
      <c r="E4" s="10" t="s">
        <v>288</v>
      </c>
      <c r="F4" s="10" t="s">
        <v>289</v>
      </c>
      <c r="G4" s="10" t="s">
        <v>290</v>
      </c>
      <c r="H4" s="10" t="s">
        <v>265</v>
      </c>
      <c r="I4" s="10" t="s">
        <v>266</v>
      </c>
      <c r="J4" s="10" t="s">
        <v>291</v>
      </c>
      <c r="K4" s="10" t="s">
        <v>292</v>
      </c>
      <c r="L4" s="10" t="s">
        <v>293</v>
      </c>
      <c r="M4" s="10" t="s">
        <v>294</v>
      </c>
      <c r="N4" s="10" t="s">
        <v>295</v>
      </c>
    </row>
    <row r="5" customFormat="false" ht="26.85" hidden="false" customHeight="false" outlineLevel="0" collapsed="false">
      <c r="A5" s="11" t="s">
        <v>296</v>
      </c>
      <c r="B5" s="11" t="s">
        <v>297</v>
      </c>
      <c r="C5" s="11" t="s">
        <v>118</v>
      </c>
      <c r="D5" s="11" t="s">
        <v>298</v>
      </c>
      <c r="E5" s="11" t="s">
        <v>299</v>
      </c>
      <c r="F5" s="12" t="n">
        <v>4</v>
      </c>
      <c r="G5" s="12" t="n">
        <v>5</v>
      </c>
      <c r="H5" s="11" t="n">
        <f aca="false">F5*G5</f>
        <v>20</v>
      </c>
      <c r="I5" s="11" t="str">
        <f aca="false">IF(H5&gt;=15,"High",IF(H5&gt;=8,"Medium","Low"))</f>
        <v>High</v>
      </c>
      <c r="J5" s="11" t="s">
        <v>300</v>
      </c>
      <c r="K5" s="11" t="s">
        <v>301</v>
      </c>
      <c r="L5" s="11" t="s">
        <v>302</v>
      </c>
      <c r="M5" s="11" t="s">
        <v>303</v>
      </c>
      <c r="N5" s="11" t="s">
        <v>304</v>
      </c>
    </row>
    <row r="6" customFormat="false" ht="26.85" hidden="false" customHeight="false" outlineLevel="0" collapsed="false">
      <c r="A6" s="11" t="s">
        <v>305</v>
      </c>
      <c r="B6" s="11" t="s">
        <v>306</v>
      </c>
      <c r="C6" s="11" t="s">
        <v>243</v>
      </c>
      <c r="D6" s="11" t="s">
        <v>307</v>
      </c>
      <c r="E6" s="11" t="s">
        <v>308</v>
      </c>
      <c r="F6" s="12" t="n">
        <v>4</v>
      </c>
      <c r="G6" s="12" t="n">
        <v>4</v>
      </c>
      <c r="H6" s="11" t="n">
        <f aca="false">F6*G6</f>
        <v>16</v>
      </c>
      <c r="I6" s="11" t="str">
        <f aca="false">IF(H6&gt;=15,"High",IF(H6&gt;=8,"Medium","Low"))</f>
        <v>High</v>
      </c>
      <c r="J6" s="11" t="s">
        <v>300</v>
      </c>
      <c r="K6" s="11" t="s">
        <v>301</v>
      </c>
      <c r="L6" s="11" t="s">
        <v>309</v>
      </c>
      <c r="M6" s="11" t="s">
        <v>303</v>
      </c>
      <c r="N6" s="11" t="s">
        <v>304</v>
      </c>
    </row>
    <row r="7" customFormat="false" ht="26.85" hidden="false" customHeight="false" outlineLevel="0" collapsed="false">
      <c r="A7" s="11" t="s">
        <v>310</v>
      </c>
      <c r="B7" s="11" t="s">
        <v>311</v>
      </c>
      <c r="C7" s="11" t="s">
        <v>96</v>
      </c>
      <c r="D7" s="11" t="s">
        <v>312</v>
      </c>
      <c r="E7" s="11" t="s">
        <v>313</v>
      </c>
      <c r="F7" s="12" t="n">
        <v>3</v>
      </c>
      <c r="G7" s="12" t="n">
        <v>4</v>
      </c>
      <c r="H7" s="11" t="n">
        <f aca="false">F7*G7</f>
        <v>12</v>
      </c>
      <c r="I7" s="11" t="str">
        <f aca="false">IF(H7&gt;=15,"High",IF(H7&gt;=8,"Medium","Low"))</f>
        <v>Medium</v>
      </c>
      <c r="J7" s="11" t="s">
        <v>314</v>
      </c>
      <c r="K7" s="11" t="s">
        <v>301</v>
      </c>
      <c r="L7" s="11" t="s">
        <v>315</v>
      </c>
      <c r="M7" s="11" t="s">
        <v>303</v>
      </c>
      <c r="N7" s="11" t="s">
        <v>304</v>
      </c>
    </row>
    <row r="8" customFormat="false" ht="26.85" hidden="false" customHeight="false" outlineLevel="0" collapsed="false">
      <c r="A8" s="11" t="s">
        <v>316</v>
      </c>
      <c r="B8" s="11" t="s">
        <v>317</v>
      </c>
      <c r="C8" s="11" t="s">
        <v>140</v>
      </c>
      <c r="D8" s="11" t="s">
        <v>318</v>
      </c>
      <c r="E8" s="11" t="s">
        <v>319</v>
      </c>
      <c r="F8" s="12" t="n">
        <v>3</v>
      </c>
      <c r="G8" s="12" t="n">
        <v>5</v>
      </c>
      <c r="H8" s="11" t="n">
        <f aca="false">F8*G8</f>
        <v>15</v>
      </c>
      <c r="I8" s="11" t="str">
        <f aca="false">IF(H8&gt;=15,"High",IF(H8&gt;=8,"Medium","Low"))</f>
        <v>High</v>
      </c>
      <c r="J8" s="11" t="s">
        <v>300</v>
      </c>
      <c r="K8" s="11" t="s">
        <v>301</v>
      </c>
      <c r="L8" s="11" t="s">
        <v>320</v>
      </c>
      <c r="M8" s="11" t="s">
        <v>321</v>
      </c>
      <c r="N8" s="11" t="s">
        <v>304</v>
      </c>
    </row>
    <row r="9" customFormat="false" ht="26.85" hidden="false" customHeight="false" outlineLevel="0" collapsed="false">
      <c r="A9" s="11" t="s">
        <v>322</v>
      </c>
      <c r="B9" s="11" t="s">
        <v>323</v>
      </c>
      <c r="C9" s="11" t="s">
        <v>158</v>
      </c>
      <c r="D9" s="11" t="s">
        <v>167</v>
      </c>
      <c r="E9" s="11" t="s">
        <v>324</v>
      </c>
      <c r="F9" s="12" t="n">
        <v>3</v>
      </c>
      <c r="G9" s="12" t="n">
        <v>4</v>
      </c>
      <c r="H9" s="11" t="n">
        <f aca="false">F9*G9</f>
        <v>12</v>
      </c>
      <c r="I9" s="11" t="str">
        <f aca="false">IF(H9&gt;=15,"High",IF(H9&gt;=8,"Medium","Low"))</f>
        <v>Medium</v>
      </c>
      <c r="J9" s="11" t="s">
        <v>325</v>
      </c>
      <c r="K9" s="11" t="s">
        <v>301</v>
      </c>
      <c r="L9" s="11" t="s">
        <v>326</v>
      </c>
      <c r="M9" s="11" t="s">
        <v>303</v>
      </c>
      <c r="N9" s="11" t="s">
        <v>304</v>
      </c>
    </row>
    <row r="10" customFormat="false" ht="26.85" hidden="false" customHeight="false" outlineLevel="0" collapsed="false">
      <c r="A10" s="11" t="s">
        <v>327</v>
      </c>
      <c r="B10" s="11" t="s">
        <v>328</v>
      </c>
      <c r="C10" s="11" t="s">
        <v>221</v>
      </c>
      <c r="D10" s="11" t="s">
        <v>329</v>
      </c>
      <c r="E10" s="11" t="s">
        <v>330</v>
      </c>
      <c r="F10" s="12" t="n">
        <v>2</v>
      </c>
      <c r="G10" s="12" t="n">
        <v>3</v>
      </c>
      <c r="H10" s="11" t="n">
        <f aca="false">F10*G10</f>
        <v>6</v>
      </c>
      <c r="I10" s="11" t="str">
        <f aca="false">IF(H10&gt;=15,"High",IF(H10&gt;=8,"Medium","Low"))</f>
        <v>Low</v>
      </c>
      <c r="J10" s="11" t="s">
        <v>331</v>
      </c>
      <c r="K10" s="11" t="s">
        <v>301</v>
      </c>
      <c r="L10" s="11" t="s">
        <v>332</v>
      </c>
      <c r="M10" s="11" t="s">
        <v>321</v>
      </c>
      <c r="N10" s="11" t="s">
        <v>304</v>
      </c>
    </row>
    <row r="11" customFormat="false" ht="26.85" hidden="false" customHeight="false" outlineLevel="0" collapsed="false">
      <c r="A11" s="11" t="s">
        <v>333</v>
      </c>
      <c r="B11" s="11" t="s">
        <v>334</v>
      </c>
      <c r="C11" s="11" t="s">
        <v>221</v>
      </c>
      <c r="D11" s="11" t="s">
        <v>226</v>
      </c>
      <c r="E11" s="11" t="s">
        <v>335</v>
      </c>
      <c r="F11" s="12" t="n">
        <v>3</v>
      </c>
      <c r="G11" s="12" t="n">
        <v>2</v>
      </c>
      <c r="H11" s="11" t="n">
        <f aca="false">F11*G11</f>
        <v>6</v>
      </c>
      <c r="I11" s="11" t="str">
        <f aca="false">IF(H11&gt;=15,"High",IF(H11&gt;=8,"Medium","Low"))</f>
        <v>Low</v>
      </c>
      <c r="J11" s="11" t="s">
        <v>325</v>
      </c>
      <c r="K11" s="11" t="s">
        <v>301</v>
      </c>
      <c r="L11" s="11" t="s">
        <v>336</v>
      </c>
      <c r="M11" s="11" t="s">
        <v>337</v>
      </c>
      <c r="N11" s="11" t="s">
        <v>304</v>
      </c>
    </row>
    <row r="12" customFormat="false" ht="26.85" hidden="false" customHeight="false" outlineLevel="0" collapsed="false">
      <c r="A12" s="11" t="s">
        <v>338</v>
      </c>
      <c r="B12" s="11" t="s">
        <v>339</v>
      </c>
      <c r="C12" s="11" t="s">
        <v>158</v>
      </c>
      <c r="D12" s="11" t="s">
        <v>157</v>
      </c>
      <c r="E12" s="11" t="s">
        <v>340</v>
      </c>
      <c r="F12" s="12" t="n">
        <v>3</v>
      </c>
      <c r="G12" s="12" t="n">
        <v>4</v>
      </c>
      <c r="H12" s="11" t="n">
        <f aca="false">F12*G12</f>
        <v>12</v>
      </c>
      <c r="I12" s="11" t="str">
        <f aca="false">IF(H12&gt;=15,"High",IF(H12&gt;=8,"Medium","Low"))</f>
        <v>Medium</v>
      </c>
      <c r="J12" s="11" t="s">
        <v>300</v>
      </c>
      <c r="K12" s="11" t="s">
        <v>301</v>
      </c>
      <c r="L12" s="11" t="s">
        <v>341</v>
      </c>
      <c r="M12" s="11" t="s">
        <v>303</v>
      </c>
      <c r="N12" s="11" t="s">
        <v>304</v>
      </c>
    </row>
    <row r="13" customFormat="false" ht="26.85" hidden="false" customHeight="false" outlineLevel="0" collapsed="false">
      <c r="A13" s="11" t="s">
        <v>342</v>
      </c>
      <c r="B13" s="11" t="s">
        <v>343</v>
      </c>
      <c r="C13" s="11" t="s">
        <v>205</v>
      </c>
      <c r="D13" s="11" t="s">
        <v>204</v>
      </c>
      <c r="E13" s="11" t="s">
        <v>344</v>
      </c>
      <c r="F13" s="12" t="n">
        <v>3</v>
      </c>
      <c r="G13" s="12" t="n">
        <v>3</v>
      </c>
      <c r="H13" s="11" t="n">
        <f aca="false">F13*G13</f>
        <v>9</v>
      </c>
      <c r="I13" s="11" t="str">
        <f aca="false">IF(H13&gt;=15,"High",IF(H13&gt;=8,"Medium","Low"))</f>
        <v>Medium</v>
      </c>
      <c r="J13" s="11" t="s">
        <v>300</v>
      </c>
      <c r="K13" s="11" t="s">
        <v>301</v>
      </c>
      <c r="L13" s="11" t="s">
        <v>345</v>
      </c>
      <c r="M13" s="11" t="s">
        <v>321</v>
      </c>
      <c r="N13" s="11" t="s">
        <v>304</v>
      </c>
    </row>
    <row r="14" customFormat="false" ht="15" hidden="false" customHeight="false" outlineLevel="0" collapsed="false">
      <c r="A14" s="11" t="s">
        <v>346</v>
      </c>
      <c r="B14" s="11" t="s">
        <v>347</v>
      </c>
      <c r="C14" s="11" t="s">
        <v>243</v>
      </c>
      <c r="D14" s="11" t="s">
        <v>256</v>
      </c>
      <c r="E14" s="11" t="s">
        <v>348</v>
      </c>
      <c r="F14" s="12" t="n">
        <v>2</v>
      </c>
      <c r="G14" s="12" t="n">
        <v>4</v>
      </c>
      <c r="H14" s="11" t="n">
        <f aca="false">F14*G14</f>
        <v>8</v>
      </c>
      <c r="I14" s="11" t="str">
        <f aca="false">IF(H14&gt;=15,"High",IF(H14&gt;=8,"Medium","Low"))</f>
        <v>Medium</v>
      </c>
      <c r="J14" s="11" t="s">
        <v>331</v>
      </c>
      <c r="K14" s="11" t="s">
        <v>301</v>
      </c>
      <c r="L14" s="11" t="s">
        <v>349</v>
      </c>
      <c r="M14" s="11" t="s">
        <v>303</v>
      </c>
      <c r="N14" s="11" t="s">
        <v>304</v>
      </c>
    </row>
    <row r="15" customFormat="false" ht="26.85" hidden="false" customHeight="false" outlineLevel="0" collapsed="false">
      <c r="A15" s="11" t="s">
        <v>350</v>
      </c>
      <c r="B15" s="11" t="s">
        <v>351</v>
      </c>
      <c r="C15" s="11" t="s">
        <v>57</v>
      </c>
      <c r="D15" s="11" t="s">
        <v>352</v>
      </c>
      <c r="E15" s="11" t="s">
        <v>353</v>
      </c>
      <c r="F15" s="12" t="n">
        <v>3</v>
      </c>
      <c r="G15" s="12" t="n">
        <v>4</v>
      </c>
      <c r="H15" s="11" t="n">
        <f aca="false">F15*G15</f>
        <v>12</v>
      </c>
      <c r="I15" s="11" t="str">
        <f aca="false">IF(H15&gt;=15,"High",IF(H15&gt;=8,"Medium","Low"))</f>
        <v>Medium</v>
      </c>
      <c r="J15" s="11" t="s">
        <v>314</v>
      </c>
      <c r="K15" s="11" t="s">
        <v>301</v>
      </c>
      <c r="L15" s="11" t="s">
        <v>354</v>
      </c>
      <c r="M15" s="11" t="s">
        <v>303</v>
      </c>
      <c r="N15" s="11" t="s">
        <v>304</v>
      </c>
    </row>
    <row r="16" customFormat="false" ht="26.85" hidden="false" customHeight="false" outlineLevel="0" collapsed="false">
      <c r="A16" s="11" t="s">
        <v>355</v>
      </c>
      <c r="B16" s="11" t="s">
        <v>356</v>
      </c>
      <c r="C16" s="11" t="s">
        <v>118</v>
      </c>
      <c r="D16" s="11" t="s">
        <v>357</v>
      </c>
      <c r="E16" s="11" t="s">
        <v>358</v>
      </c>
      <c r="F16" s="12" t="n">
        <v>3</v>
      </c>
      <c r="G16" s="12" t="n">
        <v>3</v>
      </c>
      <c r="H16" s="11" t="n">
        <f aca="false">F16*G16</f>
        <v>9</v>
      </c>
      <c r="I16" s="11" t="str">
        <f aca="false">IF(H16&gt;=15,"High",IF(H16&gt;=8,"Medium","Low"))</f>
        <v>Medium</v>
      </c>
      <c r="J16" s="11" t="s">
        <v>314</v>
      </c>
      <c r="K16" s="11" t="s">
        <v>301</v>
      </c>
      <c r="L16" s="11" t="s">
        <v>359</v>
      </c>
      <c r="M16" s="11" t="s">
        <v>321</v>
      </c>
      <c r="N16" s="11" t="s">
        <v>304</v>
      </c>
    </row>
  </sheetData>
  <conditionalFormatting sqref="I5:I16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2">
    <dataValidation allowBlank="false" errorStyle="stop" operator="between" showDropDown="false" showErrorMessage="false" showInputMessage="false" sqref="F5:G16" type="whole">
      <formula1>1</formula1>
      <formula2>5</formula2>
    </dataValidation>
    <dataValidation allowBlank="false" errorStyle="stop" operator="between" showDropDown="false" showErrorMessage="false" showInputMessage="false" sqref="N5:N16" type="list">
      <formula1>"Open,In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8" t="s">
        <v>360</v>
      </c>
    </row>
    <row r="3" customFormat="false" ht="15" hidden="false" customHeight="false" outlineLevel="0" collapsed="false">
      <c r="A3" s="19" t="s">
        <v>361</v>
      </c>
      <c r="B3" s="4" t="s">
        <v>362</v>
      </c>
    </row>
    <row r="4" customFormat="false" ht="15" hidden="false" customHeight="false" outlineLevel="0" collapsed="false">
      <c r="A4" s="19" t="s">
        <v>363</v>
      </c>
      <c r="B4" s="4" t="s">
        <v>364</v>
      </c>
    </row>
    <row r="5" customFormat="false" ht="15" hidden="false" customHeight="false" outlineLevel="0" collapsed="false">
      <c r="A5" s="19" t="s">
        <v>365</v>
      </c>
      <c r="B5" s="4" t="s">
        <v>366</v>
      </c>
    </row>
    <row r="6" customFormat="false" ht="15" hidden="false" customHeight="false" outlineLevel="0" collapsed="false">
      <c r="A6" s="19" t="s">
        <v>367</v>
      </c>
      <c r="B6" s="4" t="s">
        <v>368</v>
      </c>
    </row>
    <row r="7" customFormat="false" ht="15" hidden="false" customHeight="false" outlineLevel="0" collapsed="false">
      <c r="A7" s="19" t="s">
        <v>369</v>
      </c>
      <c r="B7" s="4" t="s">
        <v>370</v>
      </c>
    </row>
    <row r="8" customFormat="false" ht="15" hidden="false" customHeight="false" outlineLevel="0" collapsed="false">
      <c r="A8" s="19" t="s">
        <v>371</v>
      </c>
      <c r="B8" s="4" t="s">
        <v>372</v>
      </c>
    </row>
    <row r="9" customFormat="false" ht="26.85" hidden="false" customHeight="false" outlineLevel="0" collapsed="false">
      <c r="A9" s="19" t="s">
        <v>373</v>
      </c>
      <c r="B9" s="4" t="s">
        <v>374</v>
      </c>
    </row>
    <row r="10" customFormat="false" ht="15" hidden="false" customHeight="false" outlineLevel="0" collapsed="false">
      <c r="A10" s="19" t="s">
        <v>375</v>
      </c>
      <c r="B10" s="4" t="s">
        <v>376</v>
      </c>
    </row>
    <row r="11" customFormat="false" ht="26.85" hidden="false" customHeight="false" outlineLevel="0" collapsed="false">
      <c r="A11" s="19" t="s">
        <v>377</v>
      </c>
      <c r="B11" s="4" t="s">
        <v>378</v>
      </c>
    </row>
    <row r="12" customFormat="false" ht="15" hidden="false" customHeight="false" outlineLevel="0" collapsed="false">
      <c r="A12" s="19" t="s">
        <v>379</v>
      </c>
      <c r="B12" s="4" t="s">
        <v>380</v>
      </c>
    </row>
    <row r="13" customFormat="false" ht="15" hidden="false" customHeight="false" outlineLevel="0" collapsed="false">
      <c r="A13" s="19" t="s">
        <v>381</v>
      </c>
      <c r="B13" s="4" t="s">
        <v>382</v>
      </c>
    </row>
    <row r="14" customFormat="false" ht="15" hidden="false" customHeight="false" outlineLevel="0" collapsed="false">
      <c r="A14" s="19" t="s">
        <v>383</v>
      </c>
      <c r="B14" s="4" t="s">
        <v>384</v>
      </c>
    </row>
    <row r="15" customFormat="false" ht="26.85" hidden="false" customHeight="false" outlineLevel="0" collapsed="false">
      <c r="A15" s="19" t="s">
        <v>385</v>
      </c>
      <c r="B15" s="4" t="s">
        <v>386</v>
      </c>
    </row>
    <row r="16" customFormat="false" ht="15" hidden="false" customHeight="false" outlineLevel="0" collapsed="false">
      <c r="A16" s="19" t="s">
        <v>387</v>
      </c>
      <c r="B16" s="4" t="s">
        <v>388</v>
      </c>
    </row>
    <row r="17" customFormat="false" ht="15" hidden="false" customHeight="false" outlineLevel="0" collapsed="false">
      <c r="A17" s="19" t="s">
        <v>389</v>
      </c>
      <c r="B17" s="4" t="s">
        <v>390</v>
      </c>
    </row>
    <row r="18" customFormat="false" ht="15" hidden="false" customHeight="false" outlineLevel="0" collapsed="false">
      <c r="A18" s="19" t="s">
        <v>391</v>
      </c>
      <c r="B18" s="4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8" t="s">
        <v>393</v>
      </c>
    </row>
    <row r="3" customFormat="false" ht="15" hidden="false" customHeight="false" outlineLevel="0" collapsed="false">
      <c r="A3" s="19" t="s">
        <v>394</v>
      </c>
      <c r="B3" s="4" t="s">
        <v>395</v>
      </c>
    </row>
    <row r="4" customFormat="false" ht="15" hidden="false" customHeight="false" outlineLevel="0" collapsed="false">
      <c r="A4" s="19" t="s">
        <v>396</v>
      </c>
      <c r="B4" s="4" t="s">
        <v>397</v>
      </c>
    </row>
    <row r="5" customFormat="false" ht="15" hidden="false" customHeight="false" outlineLevel="0" collapsed="false">
      <c r="A5" s="19" t="s">
        <v>52</v>
      </c>
      <c r="B5" s="4" t="s">
        <v>398</v>
      </c>
    </row>
    <row r="6" customFormat="false" ht="15" hidden="false" customHeight="false" outlineLevel="0" collapsed="false">
      <c r="A6" s="19" t="s">
        <v>399</v>
      </c>
      <c r="B6" s="4" t="s">
        <v>400</v>
      </c>
    </row>
    <row r="7" customFormat="false" ht="15" hidden="false" customHeight="false" outlineLevel="0" collapsed="false">
      <c r="A7" s="19" t="s">
        <v>401</v>
      </c>
      <c r="B7" s="4" t="s">
        <v>402</v>
      </c>
    </row>
    <row r="8" customFormat="false" ht="26.85" hidden="false" customHeight="false" outlineLevel="0" collapsed="false">
      <c r="A8" s="19" t="s">
        <v>403</v>
      </c>
      <c r="B8" s="4" t="s">
        <v>404</v>
      </c>
    </row>
    <row r="9" customFormat="false" ht="15" hidden="false" customHeight="false" outlineLevel="0" collapsed="false">
      <c r="A9" s="19" t="s">
        <v>405</v>
      </c>
      <c r="B9" s="4" t="s">
        <v>406</v>
      </c>
    </row>
    <row r="10" customFormat="false" ht="15" hidden="false" customHeight="false" outlineLevel="0" collapsed="false">
      <c r="A10" s="19" t="s">
        <v>405</v>
      </c>
      <c r="B10" s="4" t="s">
        <v>407</v>
      </c>
    </row>
    <row r="11" customFormat="false" ht="15" hidden="false" customHeight="false" outlineLevel="0" collapsed="false">
      <c r="A11" s="19" t="s">
        <v>405</v>
      </c>
      <c r="B11" s="4" t="s">
        <v>408</v>
      </c>
    </row>
    <row r="12" customFormat="false" ht="15" hidden="false" customHeight="false" outlineLevel="0" collapsed="false">
      <c r="A12" s="19" t="s">
        <v>409</v>
      </c>
      <c r="B12" s="4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2026-10-14T11:40:58Z</dcterms:created>
  <dc:creator>openpyxl</dc:creator>
  <dc:description/>
  <dc:language>en-US</dc:language>
  <cp:lastModifiedBy/>
  <dcterms:modified xsi:type="dcterms:W3CDTF">2026-10-14T13:41:01Z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